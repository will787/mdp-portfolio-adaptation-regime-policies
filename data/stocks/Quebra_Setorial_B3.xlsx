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Quantamental Dropbox\Rafael Lavrado\Portfolio Expert\Portfolio Expert\"/>
    </mc:Choice>
  </mc:AlternateContent>
  <xr:revisionPtr revIDLastSave="0" documentId="13_ncr:1_{6BEDD690-D609-4F8C-9A77-C8C61988B6F0}" xr6:coauthVersionLast="45" xr6:coauthVersionMax="45" xr10:uidLastSave="{00000000-0000-0000-0000-000000000000}"/>
  <bookViews>
    <workbookView xWindow="-108" yWindow="-108" windowWidth="23256" windowHeight="13176" xr2:uid="{A37FB608-B934-4D72-864A-17EEAC4046EF}"/>
  </bookViews>
  <sheets>
    <sheet name="b3Setorial" sheetId="3" r:id="rId1"/>
    <sheet name="Tabela_Auxiliar" sheetId="6" r:id="rId2"/>
    <sheet name="IBOVESPA" sheetId="5" r:id="rId3"/>
  </sheets>
  <definedNames>
    <definedName name="_xlnm._FilterDatabase" localSheetId="2" hidden="1">IBOVESPA!$A$1:$C$1</definedName>
    <definedName name="_xlnm._FilterDatabase" localSheetId="1" hidden="1">Tabela_Auxiliar!$A$1:$E$468</definedName>
    <definedName name="_xlnm.Print_Area" localSheetId="0">b3Setorial!$A$1:$E$564</definedName>
    <definedName name="_xlnm.Print_Area" localSheetId="1">Tabela_Auxiliar!#REF!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2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D3" i="5"/>
  <c r="E3" i="5"/>
  <c r="D4" i="5"/>
  <c r="E4" i="5"/>
  <c r="D5" i="5"/>
  <c r="E5" i="5"/>
  <c r="D6" i="5"/>
  <c r="E6" i="5"/>
  <c r="D7" i="5"/>
  <c r="E7" i="5"/>
  <c r="D8" i="5"/>
  <c r="E8" i="5"/>
  <c r="D9" i="5"/>
  <c r="E9" i="5"/>
  <c r="D10" i="5"/>
  <c r="E10" i="5"/>
  <c r="D11" i="5"/>
  <c r="E11" i="5"/>
  <c r="D12" i="5"/>
  <c r="E12" i="5"/>
  <c r="D13" i="5"/>
  <c r="E13" i="5"/>
  <c r="D14" i="5"/>
  <c r="E14" i="5"/>
  <c r="D15" i="5"/>
  <c r="E15" i="5"/>
  <c r="D16" i="5"/>
  <c r="E16" i="5"/>
  <c r="D17" i="5"/>
  <c r="E17" i="5"/>
  <c r="D18" i="5"/>
  <c r="E18" i="5"/>
  <c r="D19" i="5"/>
  <c r="E19" i="5"/>
  <c r="D20" i="5"/>
  <c r="E20" i="5"/>
  <c r="D21" i="5"/>
  <c r="E21" i="5"/>
  <c r="D22" i="5"/>
  <c r="E22" i="5"/>
  <c r="D23" i="5"/>
  <c r="E23" i="5"/>
  <c r="D24" i="5"/>
  <c r="E24" i="5"/>
  <c r="D25" i="5"/>
  <c r="E25" i="5"/>
  <c r="D26" i="5"/>
  <c r="E26" i="5"/>
  <c r="D27" i="5"/>
  <c r="E27" i="5"/>
  <c r="D28" i="5"/>
  <c r="E28" i="5"/>
  <c r="D29" i="5"/>
  <c r="E29" i="5"/>
  <c r="D30" i="5"/>
  <c r="E30" i="5"/>
  <c r="D31" i="5"/>
  <c r="E31" i="5"/>
  <c r="D32" i="5"/>
  <c r="E32" i="5"/>
  <c r="D33" i="5"/>
  <c r="E33" i="5"/>
  <c r="D34" i="5"/>
  <c r="E34" i="5"/>
  <c r="D35" i="5"/>
  <c r="E35" i="5"/>
  <c r="D36" i="5"/>
  <c r="E36" i="5"/>
  <c r="D37" i="5"/>
  <c r="E37" i="5"/>
  <c r="D38" i="5"/>
  <c r="E38" i="5"/>
  <c r="D39" i="5"/>
  <c r="E39" i="5"/>
  <c r="D40" i="5"/>
  <c r="E40" i="5"/>
  <c r="D41" i="5"/>
  <c r="E41" i="5"/>
  <c r="D42" i="5"/>
  <c r="E42" i="5"/>
  <c r="D43" i="5"/>
  <c r="E43" i="5"/>
  <c r="D44" i="5"/>
  <c r="E44" i="5"/>
  <c r="D45" i="5"/>
  <c r="E45" i="5"/>
  <c r="D46" i="5"/>
  <c r="E46" i="5"/>
  <c r="D47" i="5"/>
  <c r="E47" i="5"/>
  <c r="D48" i="5"/>
  <c r="E48" i="5"/>
  <c r="D49" i="5"/>
  <c r="E49" i="5"/>
  <c r="D50" i="5"/>
  <c r="E50" i="5"/>
  <c r="D51" i="5"/>
  <c r="E51" i="5"/>
  <c r="D52" i="5"/>
  <c r="E52" i="5"/>
  <c r="D53" i="5"/>
  <c r="E53" i="5"/>
  <c r="D54" i="5"/>
  <c r="E54" i="5"/>
  <c r="D55" i="5"/>
  <c r="E55" i="5"/>
  <c r="D56" i="5"/>
  <c r="E56" i="5"/>
  <c r="D57" i="5"/>
  <c r="E57" i="5"/>
  <c r="D58" i="5"/>
  <c r="E58" i="5"/>
  <c r="D59" i="5"/>
  <c r="E59" i="5"/>
  <c r="D60" i="5"/>
  <c r="E60" i="5"/>
  <c r="D61" i="5"/>
  <c r="E61" i="5"/>
  <c r="D62" i="5"/>
  <c r="E62" i="5"/>
  <c r="D63" i="5"/>
  <c r="E63" i="5"/>
  <c r="D64" i="5"/>
  <c r="E64" i="5"/>
  <c r="D65" i="5"/>
  <c r="E65" i="5"/>
  <c r="D66" i="5"/>
  <c r="E66" i="5"/>
  <c r="D67" i="5"/>
  <c r="E67" i="5"/>
  <c r="D68" i="5"/>
  <c r="E68" i="5"/>
  <c r="D69" i="5"/>
  <c r="E69" i="5"/>
  <c r="D70" i="5"/>
  <c r="E70" i="5"/>
  <c r="D71" i="5"/>
  <c r="E71" i="5"/>
  <c r="D72" i="5"/>
  <c r="E72" i="5"/>
  <c r="D73" i="5"/>
  <c r="E73" i="5"/>
  <c r="D74" i="5"/>
  <c r="E74" i="5"/>
  <c r="D75" i="5"/>
  <c r="E75" i="5"/>
  <c r="D76" i="5"/>
  <c r="E76" i="5"/>
  <c r="E2" i="5"/>
  <c r="D2" i="5"/>
</calcChain>
</file>

<file path=xl/sharedStrings.xml><?xml version="1.0" encoding="utf-8"?>
<sst xmlns="http://schemas.openxmlformats.org/spreadsheetml/2006/main" count="3650" uniqueCount="1055">
  <si>
    <t>PCAR3</t>
  </si>
  <si>
    <t>ABEV3</t>
  </si>
  <si>
    <t>B3SA3</t>
  </si>
  <si>
    <t>BBAS3</t>
  </si>
  <si>
    <t>BBDC4</t>
  </si>
  <si>
    <t>BBSE3</t>
  </si>
  <si>
    <t>BEEF3</t>
  </si>
  <si>
    <t>BPAC11</t>
  </si>
  <si>
    <t>BRFS3</t>
  </si>
  <si>
    <t>BRKM5</t>
  </si>
  <si>
    <t>BRML3</t>
  </si>
  <si>
    <t>BTOW3</t>
  </si>
  <si>
    <t>CCRO3</t>
  </si>
  <si>
    <t>CMIG4</t>
  </si>
  <si>
    <t>COGN3</t>
  </si>
  <si>
    <t>CSAN3</t>
  </si>
  <si>
    <t>CYRE3</t>
  </si>
  <si>
    <t>ECOR3</t>
  </si>
  <si>
    <t>EGIE3</t>
  </si>
  <si>
    <t>ELET3</t>
  </si>
  <si>
    <t>ELET6</t>
  </si>
  <si>
    <t>ENBR3</t>
  </si>
  <si>
    <t>EQTL3</t>
  </si>
  <si>
    <t>FLRY3</t>
  </si>
  <si>
    <t>GGBR4</t>
  </si>
  <si>
    <t>GOAU4</t>
  </si>
  <si>
    <t>HYPE3</t>
  </si>
  <si>
    <t>IGTA3</t>
  </si>
  <si>
    <t>IRBR3</t>
  </si>
  <si>
    <t>ITSA4</t>
  </si>
  <si>
    <t>ITUB4</t>
  </si>
  <si>
    <t>KLBN11</t>
  </si>
  <si>
    <t>LAME4</t>
  </si>
  <si>
    <t>LREN3</t>
  </si>
  <si>
    <t>MRFG3</t>
  </si>
  <si>
    <t>MRVE3</t>
  </si>
  <si>
    <t>MULT3</t>
  </si>
  <si>
    <t>PETR4</t>
  </si>
  <si>
    <t>RADL3</t>
  </si>
  <si>
    <t>RENT3</t>
  </si>
  <si>
    <t>SULA11</t>
  </si>
  <si>
    <t>SUZB3</t>
  </si>
  <si>
    <t>TAEE11</t>
  </si>
  <si>
    <t>TIMP3</t>
  </si>
  <si>
    <t>TOTS3</t>
  </si>
  <si>
    <t>VALE3</t>
  </si>
  <si>
    <t>VIVT4</t>
  </si>
  <si>
    <t>WEGE3</t>
  </si>
  <si>
    <t>YDUQ3</t>
  </si>
  <si>
    <t/>
  </si>
  <si>
    <t>EMBR3</t>
  </si>
  <si>
    <t>HGTX3</t>
  </si>
  <si>
    <t>BRAP4</t>
  </si>
  <si>
    <t>CLASSIFICAÇÃO SETORIAL DAS EMPRESAS NEGOCIADAS NA B3</t>
  </si>
  <si>
    <t>SETOR ECONÔMICO</t>
  </si>
  <si>
    <t>SUBSETOR</t>
  </si>
  <si>
    <t>SEGMENTO</t>
  </si>
  <si>
    <t>LISTAGEM</t>
  </si>
  <si>
    <t>CÓDIGO</t>
  </si>
  <si>
    <t>Petróleo, Gás e Biocombustíveis</t>
  </si>
  <si>
    <t>Exploração, Refino e Distribuição</t>
  </si>
  <si>
    <t xml:space="preserve">COSAN       </t>
  </si>
  <si>
    <t>CSAN</t>
  </si>
  <si>
    <t xml:space="preserve">NM             </t>
  </si>
  <si>
    <t>DOMMO</t>
  </si>
  <si>
    <t>DMMO</t>
  </si>
  <si>
    <t>ENAUTA PART</t>
  </si>
  <si>
    <t>ENAT</t>
  </si>
  <si>
    <t>PET MANGUINH</t>
  </si>
  <si>
    <t>RPMG</t>
  </si>
  <si>
    <t xml:space="preserve">PETROBRAS   </t>
  </si>
  <si>
    <t>PETR</t>
  </si>
  <si>
    <t>N2</t>
  </si>
  <si>
    <t>PETROBRAS BR</t>
  </si>
  <si>
    <t>BRDT</t>
  </si>
  <si>
    <t>PETRORIO</t>
  </si>
  <si>
    <t>PRIO</t>
  </si>
  <si>
    <t xml:space="preserve">ULTRAPAR    </t>
  </si>
  <si>
    <t>UGPA</t>
  </si>
  <si>
    <t>Equipamentos e Serviços</t>
  </si>
  <si>
    <t xml:space="preserve">LUPATECH    </t>
  </si>
  <si>
    <t>LUPA</t>
  </si>
  <si>
    <t xml:space="preserve">OSX BRASIL  </t>
  </si>
  <si>
    <t>OSXB</t>
  </si>
  <si>
    <t>Materiais Básicos</t>
  </si>
  <si>
    <t>Mineração</t>
  </si>
  <si>
    <t>Minerais Metálicos</t>
  </si>
  <si>
    <t xml:space="preserve">BRADESPAR   </t>
  </si>
  <si>
    <t>BRAP</t>
  </si>
  <si>
    <t xml:space="preserve">N1             </t>
  </si>
  <si>
    <t xml:space="preserve">LITEL       </t>
  </si>
  <si>
    <t>LTEL</t>
  </si>
  <si>
    <t xml:space="preserve">MB             </t>
  </si>
  <si>
    <t>LITELA</t>
  </si>
  <si>
    <t>LTLA</t>
  </si>
  <si>
    <t xml:space="preserve">MMX MINER   </t>
  </si>
  <si>
    <t>MMXM</t>
  </si>
  <si>
    <t xml:space="preserve">VALE        </t>
  </si>
  <si>
    <t>VALE</t>
  </si>
  <si>
    <t>Siderurgia e Metalurgia</t>
  </si>
  <si>
    <t>Siderurgia</t>
  </si>
  <si>
    <t xml:space="preserve">FERBASA     </t>
  </si>
  <si>
    <t>FESA</t>
  </si>
  <si>
    <t xml:space="preserve">GERDAU      </t>
  </si>
  <si>
    <t>GGBR</t>
  </si>
  <si>
    <t xml:space="preserve">GERDAU MET  </t>
  </si>
  <si>
    <t>GOAU</t>
  </si>
  <si>
    <t>SID NACIONAL</t>
  </si>
  <si>
    <t>CSNA</t>
  </si>
  <si>
    <t xml:space="preserve">USIMINAS    </t>
  </si>
  <si>
    <t>USIM</t>
  </si>
  <si>
    <t>Artefatos de Ferro e Aço</t>
  </si>
  <si>
    <t>MANGELS INDL</t>
  </si>
  <si>
    <t>MGEL</t>
  </si>
  <si>
    <t>PANATLANTICA</t>
  </si>
  <si>
    <t>PATI</t>
  </si>
  <si>
    <t xml:space="preserve">TEKNO       </t>
  </si>
  <si>
    <t>TKNO</t>
  </si>
  <si>
    <t>Artefatos de Cobre</t>
  </si>
  <si>
    <t>PARANAPANEMA</t>
  </si>
  <si>
    <t>PMAM</t>
  </si>
  <si>
    <t>Químicos</t>
  </si>
  <si>
    <t>Petroquímicos</t>
  </si>
  <si>
    <t xml:space="preserve">BRASKEM     </t>
  </si>
  <si>
    <t>BRKM</t>
  </si>
  <si>
    <t xml:space="preserve">ELEKEIROZ   </t>
  </si>
  <si>
    <t>ELEK</t>
  </si>
  <si>
    <t xml:space="preserve">GPC PART    </t>
  </si>
  <si>
    <t>GPCP</t>
  </si>
  <si>
    <t>Fertilizantes e Defensivos</t>
  </si>
  <si>
    <t>FER HERINGER</t>
  </si>
  <si>
    <t>FHER</t>
  </si>
  <si>
    <t xml:space="preserve">NUTRIPLANT  </t>
  </si>
  <si>
    <t>NUTR</t>
  </si>
  <si>
    <t xml:space="preserve">MA             </t>
  </si>
  <si>
    <t>Químicos Diversos</t>
  </si>
  <si>
    <t>CRISTAL</t>
  </si>
  <si>
    <t>CRPG</t>
  </si>
  <si>
    <t xml:space="preserve">UNIPAR      </t>
  </si>
  <si>
    <t>UNIP</t>
  </si>
  <si>
    <t>Madeira e Papel</t>
  </si>
  <si>
    <t>Madeira</t>
  </si>
  <si>
    <t xml:space="preserve">DURATEX     </t>
  </si>
  <si>
    <t>DTEX</t>
  </si>
  <si>
    <t xml:space="preserve">EUCATEX     </t>
  </si>
  <si>
    <t>EUCA</t>
  </si>
  <si>
    <t>Papel e Celulose</t>
  </si>
  <si>
    <t xml:space="preserve">IRANI </t>
  </si>
  <si>
    <t>RANI</t>
  </si>
  <si>
    <t xml:space="preserve">KLABIN S/A  </t>
  </si>
  <si>
    <t>KLBN</t>
  </si>
  <si>
    <t xml:space="preserve">MELHOR SP   </t>
  </si>
  <si>
    <t>MSPA</t>
  </si>
  <si>
    <t xml:space="preserve">SANTHER     </t>
  </si>
  <si>
    <t>STTZ</t>
  </si>
  <si>
    <t xml:space="preserve">SUZANO HOLD </t>
  </si>
  <si>
    <t>NEMO</t>
  </si>
  <si>
    <t>SUZANO S.A.</t>
  </si>
  <si>
    <t>SUZB</t>
  </si>
  <si>
    <t>Embalagens</t>
  </si>
  <si>
    <t>METAL IGUACU</t>
  </si>
  <si>
    <t>MTIG</t>
  </si>
  <si>
    <t>Materiais Diversos</t>
  </si>
  <si>
    <t xml:space="preserve">SANSUY      </t>
  </si>
  <si>
    <t>SNSY</t>
  </si>
  <si>
    <t>Bens Industriais</t>
  </si>
  <si>
    <t>Construção e Engenharia</t>
  </si>
  <si>
    <t>Produtos para Construção</t>
  </si>
  <si>
    <t xml:space="preserve">ETERNIT     </t>
  </si>
  <si>
    <t>ETER</t>
  </si>
  <si>
    <t xml:space="preserve">HAGA S/A    </t>
  </si>
  <si>
    <t>HAGA</t>
  </si>
  <si>
    <t xml:space="preserve">PORTOBELLO  </t>
  </si>
  <si>
    <t>PTBL</t>
  </si>
  <si>
    <t>Construção Pesada</t>
  </si>
  <si>
    <t xml:space="preserve">AZEVEDO     </t>
  </si>
  <si>
    <t>AZEV</t>
  </si>
  <si>
    <t>Engenharia Consultiva</t>
  </si>
  <si>
    <t>SONDOTECNICA</t>
  </si>
  <si>
    <t>SOND</t>
  </si>
  <si>
    <t xml:space="preserve">TECNOSOLO   </t>
  </si>
  <si>
    <t>TCNO</t>
  </si>
  <si>
    <t>Serviços Diversos</t>
  </si>
  <si>
    <t xml:space="preserve">MILLS       </t>
  </si>
  <si>
    <t>MILS</t>
  </si>
  <si>
    <t>Material de Transporte</t>
  </si>
  <si>
    <t>Material Aeronáutico e de Defesa</t>
  </si>
  <si>
    <t xml:space="preserve">EMBRAER     </t>
  </si>
  <si>
    <t>EMBR</t>
  </si>
  <si>
    <t>Material Rodoviário</t>
  </si>
  <si>
    <t xml:space="preserve">FRAS-LE     </t>
  </si>
  <si>
    <t>FRAS</t>
  </si>
  <si>
    <t xml:space="preserve">MARCOPOLO   </t>
  </si>
  <si>
    <t>POMO</t>
  </si>
  <si>
    <t xml:space="preserve">N2             </t>
  </si>
  <si>
    <t xml:space="preserve">RANDON PART </t>
  </si>
  <si>
    <t>RAPT</t>
  </si>
  <si>
    <t xml:space="preserve">RECRUSUL    </t>
  </si>
  <si>
    <t>RCSL</t>
  </si>
  <si>
    <t xml:space="preserve">RIOSULENSE  </t>
  </si>
  <si>
    <t>RSUL</t>
  </si>
  <si>
    <t xml:space="preserve">TUPY        </t>
  </si>
  <si>
    <t>TUPY</t>
  </si>
  <si>
    <t xml:space="preserve">WETZEL S/A  </t>
  </si>
  <si>
    <t>MWET</t>
  </si>
  <si>
    <t>Máquinas e Equipamentos</t>
  </si>
  <si>
    <t>Motores, Compressores e Outros</t>
  </si>
  <si>
    <t xml:space="preserve">SCHULZ      </t>
  </si>
  <si>
    <t>SHUL</t>
  </si>
  <si>
    <t xml:space="preserve">WEG         </t>
  </si>
  <si>
    <t>WEGE</t>
  </si>
  <si>
    <t>Máq. e Equip. Industriais</t>
  </si>
  <si>
    <t xml:space="preserve">ACO ALTONA  </t>
  </si>
  <si>
    <t>EALT</t>
  </si>
  <si>
    <t xml:space="preserve">BARDELLA    </t>
  </si>
  <si>
    <t>BDLL</t>
  </si>
  <si>
    <t xml:space="preserve">INDS ROMI   </t>
  </si>
  <si>
    <t>ROMI</t>
  </si>
  <si>
    <t xml:space="preserve">INEPAR      </t>
  </si>
  <si>
    <t>INEP</t>
  </si>
  <si>
    <t>KEPLER WEBER</t>
  </si>
  <si>
    <t>KEPL</t>
  </si>
  <si>
    <t xml:space="preserve">METALFRIO   </t>
  </si>
  <si>
    <t>FRIO</t>
  </si>
  <si>
    <t xml:space="preserve">NORDON MET  </t>
  </si>
  <si>
    <t>NORD</t>
  </si>
  <si>
    <t>PRATICA</t>
  </si>
  <si>
    <t>PTCA</t>
  </si>
  <si>
    <t>M2</t>
  </si>
  <si>
    <t>Máq. e Equip. Construção e Agrícolas</t>
  </si>
  <si>
    <t xml:space="preserve">METISA      </t>
  </si>
  <si>
    <t>MTSA</t>
  </si>
  <si>
    <t>STARA</t>
  </si>
  <si>
    <t>STTR</t>
  </si>
  <si>
    <t>MA</t>
  </si>
  <si>
    <t>Armas e Munições</t>
  </si>
  <si>
    <t>TAURUS ARMAS</t>
  </si>
  <si>
    <t>TASA</t>
  </si>
  <si>
    <t>Transporte</t>
  </si>
  <si>
    <t>Transporte Aéreo</t>
  </si>
  <si>
    <t>AZUL</t>
  </si>
  <si>
    <t xml:space="preserve">GOL         </t>
  </si>
  <si>
    <t>GOLL</t>
  </si>
  <si>
    <t>Transporte Ferroviário</t>
  </si>
  <si>
    <t xml:space="preserve">ALL NORTE   </t>
  </si>
  <si>
    <t>FRRN</t>
  </si>
  <si>
    <t>ALL PAULISTA</t>
  </si>
  <si>
    <t>GASC</t>
  </si>
  <si>
    <t>COSAN LOG</t>
  </si>
  <si>
    <t>RLOG</t>
  </si>
  <si>
    <t>FER C ATLANT</t>
  </si>
  <si>
    <t>VSPT</t>
  </si>
  <si>
    <t xml:space="preserve">MRS LOGIST  </t>
  </si>
  <si>
    <t>MRSA</t>
  </si>
  <si>
    <t>RUMO S.A.</t>
  </si>
  <si>
    <t>RAIL</t>
  </si>
  <si>
    <t>Transporte Hidroviário</t>
  </si>
  <si>
    <t xml:space="preserve">LOG-IN      </t>
  </si>
  <si>
    <t>LOGN</t>
  </si>
  <si>
    <t xml:space="preserve">TREVISA     </t>
  </si>
  <si>
    <t>LUXM</t>
  </si>
  <si>
    <t>Transporte Rodoviário</t>
  </si>
  <si>
    <t xml:space="preserve">JSL         </t>
  </si>
  <si>
    <t>JSLG</t>
  </si>
  <si>
    <t xml:space="preserve">TEGMA       </t>
  </si>
  <si>
    <t>TGMA</t>
  </si>
  <si>
    <t>Exploração de Rodovias</t>
  </si>
  <si>
    <t xml:space="preserve">AUTOBAN     </t>
  </si>
  <si>
    <t>ANHB</t>
  </si>
  <si>
    <t xml:space="preserve">CCR SA      </t>
  </si>
  <si>
    <t>CCRO</t>
  </si>
  <si>
    <t xml:space="preserve">CONC RAPOSO </t>
  </si>
  <si>
    <t>RPTA</t>
  </si>
  <si>
    <t>CONC RIO TER</t>
  </si>
  <si>
    <t>CRTE</t>
  </si>
  <si>
    <t xml:space="preserve">ECON        </t>
  </si>
  <si>
    <t>ERDV</t>
  </si>
  <si>
    <t xml:space="preserve">ECONORTE    </t>
  </si>
  <si>
    <t>ECNT</t>
  </si>
  <si>
    <t xml:space="preserve">ECOPISTAS   </t>
  </si>
  <si>
    <t>ASCP</t>
  </si>
  <si>
    <t xml:space="preserve">ECORODOVIAS </t>
  </si>
  <si>
    <t>ECOR</t>
  </si>
  <si>
    <t xml:space="preserve">ECOVIAS     </t>
  </si>
  <si>
    <t>ECOV</t>
  </si>
  <si>
    <t xml:space="preserve">ROD COLINAS </t>
  </si>
  <si>
    <t>COLN</t>
  </si>
  <si>
    <t xml:space="preserve">ROD TIETE   </t>
  </si>
  <si>
    <t>RDVT</t>
  </si>
  <si>
    <t>RT BANDEIRAS</t>
  </si>
  <si>
    <t>CRBD</t>
  </si>
  <si>
    <t>TRIANGULOSOL</t>
  </si>
  <si>
    <t>TRIA</t>
  </si>
  <si>
    <t>TRIUNFO PART</t>
  </si>
  <si>
    <t>TPIS</t>
  </si>
  <si>
    <t xml:space="preserve">VIAOESTE    </t>
  </si>
  <si>
    <t>VOES</t>
  </si>
  <si>
    <t>Serviços de Apoio e Armazenagem</t>
  </si>
  <si>
    <t>GRUAIRPORT</t>
  </si>
  <si>
    <t>AGRU</t>
  </si>
  <si>
    <t>PORTO VM</t>
  </si>
  <si>
    <t>PSVM</t>
  </si>
  <si>
    <t xml:space="preserve">INVEPAR     </t>
  </si>
  <si>
    <t>IVPR</t>
  </si>
  <si>
    <t>SALUS INFRA</t>
  </si>
  <si>
    <t>SAIP</t>
  </si>
  <si>
    <t xml:space="preserve">SANTOS BRP  </t>
  </si>
  <si>
    <t>STBP</t>
  </si>
  <si>
    <t xml:space="preserve">WILSON SONS </t>
  </si>
  <si>
    <t>WSON</t>
  </si>
  <si>
    <t>DR3</t>
  </si>
  <si>
    <t>ATMASA</t>
  </si>
  <si>
    <t>ATMP</t>
  </si>
  <si>
    <t>BBMLOGISTICA</t>
  </si>
  <si>
    <t>BBML</t>
  </si>
  <si>
    <t>CSU CARDSYST</t>
  </si>
  <si>
    <t>CARD</t>
  </si>
  <si>
    <t>DTCOM-DIRECT</t>
  </si>
  <si>
    <t>DTCY</t>
  </si>
  <si>
    <t>ESTAPAR</t>
  </si>
  <si>
    <t>ALPK</t>
  </si>
  <si>
    <t>FLEX S/A</t>
  </si>
  <si>
    <t>FLEX</t>
  </si>
  <si>
    <t>PRINER</t>
  </si>
  <si>
    <t>PRNR</t>
  </si>
  <si>
    <t xml:space="preserve">VALID       </t>
  </si>
  <si>
    <t>VLID</t>
  </si>
  <si>
    <t>Comércio</t>
  </si>
  <si>
    <t xml:space="preserve">BATTISTELLA </t>
  </si>
  <si>
    <t>BTTL</t>
  </si>
  <si>
    <t>MINASMAQUINA</t>
  </si>
  <si>
    <t>MMAQ</t>
  </si>
  <si>
    <t xml:space="preserve">WLM IND COM </t>
  </si>
  <si>
    <t>WLMM</t>
  </si>
  <si>
    <t>Consumo não Cíclico</t>
  </si>
  <si>
    <t>Agropecuária</t>
  </si>
  <si>
    <t>Agricultura</t>
  </si>
  <si>
    <t xml:space="preserve">ALIPERTI    </t>
  </si>
  <si>
    <t>APTI</t>
  </si>
  <si>
    <t xml:space="preserve">BRASILAGRO  </t>
  </si>
  <si>
    <t>AGRO</t>
  </si>
  <si>
    <t>POMIFRUTAS</t>
  </si>
  <si>
    <t>FRTA</t>
  </si>
  <si>
    <t>SLC AGRICOLA</t>
  </si>
  <si>
    <t>SLCE</t>
  </si>
  <si>
    <t>TERRA SANTA</t>
  </si>
  <si>
    <t>TESA</t>
  </si>
  <si>
    <t>Alimentos Processados</t>
  </si>
  <si>
    <t>Açucar e Alcool</t>
  </si>
  <si>
    <t>BIOSEV</t>
  </si>
  <si>
    <t>BSEV</t>
  </si>
  <si>
    <t>RAIZEN ENERG</t>
  </si>
  <si>
    <t>RESA</t>
  </si>
  <si>
    <t>SAO MARTINHO</t>
  </si>
  <si>
    <t>SMTO</t>
  </si>
  <si>
    <t>Carnes e Derivados</t>
  </si>
  <si>
    <t xml:space="preserve">BRF SA   </t>
  </si>
  <si>
    <t>BRFS</t>
  </si>
  <si>
    <t xml:space="preserve">EXCELSIOR   </t>
  </si>
  <si>
    <t>BAUH</t>
  </si>
  <si>
    <t xml:space="preserve">JBS         </t>
  </si>
  <si>
    <t>JBSS</t>
  </si>
  <si>
    <t xml:space="preserve">MARFRIG     </t>
  </si>
  <si>
    <t>MRFG</t>
  </si>
  <si>
    <t xml:space="preserve">MINERVA     </t>
  </si>
  <si>
    <t>BEEF</t>
  </si>
  <si>
    <t xml:space="preserve">MINUPAR     </t>
  </si>
  <si>
    <t>MNPR</t>
  </si>
  <si>
    <t>Alimentos Diversos</t>
  </si>
  <si>
    <t>CAMIL</t>
  </si>
  <si>
    <t>CAML</t>
  </si>
  <si>
    <t xml:space="preserve">J.MACEDO    </t>
  </si>
  <si>
    <t>JMCD</t>
  </si>
  <si>
    <t xml:space="preserve">JOSAPAR     </t>
  </si>
  <si>
    <t>JOPA</t>
  </si>
  <si>
    <t>M.DIASBRANCO</t>
  </si>
  <si>
    <t>MDIA</t>
  </si>
  <si>
    <t xml:space="preserve">ODERICH     </t>
  </si>
  <si>
    <t>ODER</t>
  </si>
  <si>
    <t>Bebidas</t>
  </si>
  <si>
    <t>Cervejas e Refrigerantes</t>
  </si>
  <si>
    <t>AMBEV S/A</t>
  </si>
  <si>
    <t>ABEV</t>
  </si>
  <si>
    <t>Produtos de Uso Pessoal e de Limpeza</t>
  </si>
  <si>
    <t>Produtos de Uso Pessoal</t>
  </si>
  <si>
    <t xml:space="preserve">GRUPO NATURA      </t>
  </si>
  <si>
    <t>NTCO</t>
  </si>
  <si>
    <t>Produtos de Limpeza</t>
  </si>
  <si>
    <t xml:space="preserve">BOMBRIL     </t>
  </si>
  <si>
    <t>BOBR</t>
  </si>
  <si>
    <t>Comércio e Distribuição</t>
  </si>
  <si>
    <t>Alimentos</t>
  </si>
  <si>
    <t>CARREFOUR BR</t>
  </si>
  <si>
    <t>CRFB</t>
  </si>
  <si>
    <t>P.ACUCAR-CBD</t>
  </si>
  <si>
    <t>PCAR</t>
  </si>
  <si>
    <t>Consumo Cíclico</t>
  </si>
  <si>
    <t>Construção Civil</t>
  </si>
  <si>
    <t>Incorporações</t>
  </si>
  <si>
    <t>CONST A LIND</t>
  </si>
  <si>
    <t>CALI</t>
  </si>
  <si>
    <t xml:space="preserve">CR2         </t>
  </si>
  <si>
    <t>CRDE</t>
  </si>
  <si>
    <t>CYRELA REALT</t>
  </si>
  <si>
    <t>CYRE</t>
  </si>
  <si>
    <t xml:space="preserve">DIRECIONAL  </t>
  </si>
  <si>
    <t>DIRR</t>
  </si>
  <si>
    <t xml:space="preserve">EVEN        </t>
  </si>
  <si>
    <t>EVEN</t>
  </si>
  <si>
    <t xml:space="preserve">EZTEC       </t>
  </si>
  <si>
    <t>EZTC</t>
  </si>
  <si>
    <t xml:space="preserve">GAFISA      </t>
  </si>
  <si>
    <t>GFSA</t>
  </si>
  <si>
    <t xml:space="preserve">HELBOR      </t>
  </si>
  <si>
    <t>HBOR</t>
  </si>
  <si>
    <t xml:space="preserve">INTER SA </t>
  </si>
  <si>
    <t>INNT</t>
  </si>
  <si>
    <t xml:space="preserve">JHSF PART   </t>
  </si>
  <si>
    <t>JHSF</t>
  </si>
  <si>
    <t xml:space="preserve">JOAO FORTES </t>
  </si>
  <si>
    <t>JFEN</t>
  </si>
  <si>
    <t>MITRE REALTY</t>
  </si>
  <si>
    <t>MTRE</t>
  </si>
  <si>
    <t>MOURA DUBEUX</t>
  </si>
  <si>
    <t>MDNE</t>
  </si>
  <si>
    <t xml:space="preserve">MRV         </t>
  </si>
  <si>
    <t>MRVE</t>
  </si>
  <si>
    <t xml:space="preserve">PDG REALT   </t>
  </si>
  <si>
    <t>PDGR</t>
  </si>
  <si>
    <t>RNI</t>
  </si>
  <si>
    <t>RDNI</t>
  </si>
  <si>
    <t xml:space="preserve">ROSSI RESID </t>
  </si>
  <si>
    <t>RSID</t>
  </si>
  <si>
    <t xml:space="preserve">TECNISA     </t>
  </si>
  <si>
    <t>TCSA</t>
  </si>
  <si>
    <t>TENDA</t>
  </si>
  <si>
    <t>TEND</t>
  </si>
  <si>
    <t xml:space="preserve">TRISUL      </t>
  </si>
  <si>
    <t>TRIS</t>
  </si>
  <si>
    <t xml:space="preserve">VIVER       </t>
  </si>
  <si>
    <t>VIVR</t>
  </si>
  <si>
    <t>Tecidos, Vestuário e Calçados</t>
  </si>
  <si>
    <t>Fios e Tecidos</t>
  </si>
  <si>
    <t xml:space="preserve">CEDRO       </t>
  </si>
  <si>
    <t>CEDO</t>
  </si>
  <si>
    <t xml:space="preserve">COTEMINAS   </t>
  </si>
  <si>
    <t>CTNM</t>
  </si>
  <si>
    <t xml:space="preserve">DOHLER      </t>
  </si>
  <si>
    <t>DOHL</t>
  </si>
  <si>
    <t xml:space="preserve">ENCORPAR    </t>
  </si>
  <si>
    <t>ECPR</t>
  </si>
  <si>
    <t>IND CATAGUAS</t>
  </si>
  <si>
    <t>CATA</t>
  </si>
  <si>
    <t xml:space="preserve">KARSTEN     </t>
  </si>
  <si>
    <t>CTKA</t>
  </si>
  <si>
    <t xml:space="preserve">PETTENATI   </t>
  </si>
  <si>
    <t>PTNT</t>
  </si>
  <si>
    <t xml:space="preserve">SANTANENSE  </t>
  </si>
  <si>
    <t>CTSA</t>
  </si>
  <si>
    <t xml:space="preserve">SPRINGS     </t>
  </si>
  <si>
    <t>SGPS</t>
  </si>
  <si>
    <t xml:space="preserve">TEKA        </t>
  </si>
  <si>
    <t>TEKA</t>
  </si>
  <si>
    <t xml:space="preserve">TEX RENAUX  </t>
  </si>
  <si>
    <t>TXRX</t>
  </si>
  <si>
    <t>Vestuário</t>
  </si>
  <si>
    <t xml:space="preserve">CIA HERING  </t>
  </si>
  <si>
    <t>HGTX</t>
  </si>
  <si>
    <t>Calçados</t>
  </si>
  <si>
    <t xml:space="preserve">ALPARGATAS  </t>
  </si>
  <si>
    <t>ALPA</t>
  </si>
  <si>
    <t xml:space="preserve">CAMBUCI     </t>
  </si>
  <si>
    <t>CAMB</t>
  </si>
  <si>
    <t xml:space="preserve">GRENDENE    </t>
  </si>
  <si>
    <t>GRND</t>
  </si>
  <si>
    <t xml:space="preserve">VULCABRAS   </t>
  </si>
  <si>
    <t>VULC</t>
  </si>
  <si>
    <t>Acessórios</t>
  </si>
  <si>
    <t xml:space="preserve">MUNDIAL     </t>
  </si>
  <si>
    <t>MNDL</t>
  </si>
  <si>
    <t xml:space="preserve">TECHNOS     </t>
  </si>
  <si>
    <t>TECN</t>
  </si>
  <si>
    <t>VIVARA S.A.</t>
  </si>
  <si>
    <t>VIVA</t>
  </si>
  <si>
    <t>Utilidades Domésticas</t>
  </si>
  <si>
    <t>Eletrodomésticos</t>
  </si>
  <si>
    <t xml:space="preserve">WHIRLPOOL   </t>
  </si>
  <si>
    <t>WHRL</t>
  </si>
  <si>
    <t>Móveis</t>
  </si>
  <si>
    <t>UNICASA</t>
  </si>
  <si>
    <t>UCAS</t>
  </si>
  <si>
    <t>Utensílios Domésticos</t>
  </si>
  <si>
    <t xml:space="preserve">HERCULES    </t>
  </si>
  <si>
    <t>HETA</t>
  </si>
  <si>
    <t>Automóveis e Motocicletas</t>
  </si>
  <si>
    <t>IOCHP-MAXION</t>
  </si>
  <si>
    <t>MYPK</t>
  </si>
  <si>
    <t xml:space="preserve">METAL LEVE  </t>
  </si>
  <si>
    <t>LEVE</t>
  </si>
  <si>
    <t>PLASCAR PART</t>
  </si>
  <si>
    <t>PLAS</t>
  </si>
  <si>
    <t>Hoteis e Restaurantes</t>
  </si>
  <si>
    <t>Hotelaria</t>
  </si>
  <si>
    <t>HOTEIS OTHON</t>
  </si>
  <si>
    <t>HOOT</t>
  </si>
  <si>
    <t>Restaurante e Similares</t>
  </si>
  <si>
    <t>BK BRASIL</t>
  </si>
  <si>
    <t>BKBR</t>
  </si>
  <si>
    <t>IMC S/A</t>
  </si>
  <si>
    <t>MEAL</t>
  </si>
  <si>
    <t>Viagens e Lazer</t>
  </si>
  <si>
    <t>Bicicletas</t>
  </si>
  <si>
    <t xml:space="preserve">BIC MONARK  </t>
  </si>
  <si>
    <t>BMKS</t>
  </si>
  <si>
    <t>Brinquedos e Jogos</t>
  </si>
  <si>
    <t xml:space="preserve">ESTRELA     </t>
  </si>
  <si>
    <t>ESTR</t>
  </si>
  <si>
    <t>Produção de Eventos e Shows</t>
  </si>
  <si>
    <t xml:space="preserve">SPTURIS     </t>
  </si>
  <si>
    <t>AHEB</t>
  </si>
  <si>
    <t>TIME FOR FUN</t>
  </si>
  <si>
    <t>SHOW</t>
  </si>
  <si>
    <t>Viagens e Turismo</t>
  </si>
  <si>
    <t>CVC BRASIL</t>
  </si>
  <si>
    <t>CVCB</t>
  </si>
  <si>
    <t>Atividades Esportivas</t>
  </si>
  <si>
    <t>SMART FIT</t>
  </si>
  <si>
    <t>SMFT</t>
  </si>
  <si>
    <t>Diversos</t>
  </si>
  <si>
    <t>Serviços Educacionais</t>
  </si>
  <si>
    <t>ANIMA</t>
  </si>
  <si>
    <t>ANIM</t>
  </si>
  <si>
    <t xml:space="preserve">BAHEMA      </t>
  </si>
  <si>
    <t>BAHI</t>
  </si>
  <si>
    <t>COGNA ON</t>
  </si>
  <si>
    <t>COGN</t>
  </si>
  <si>
    <t>SER EDUCA</t>
  </si>
  <si>
    <t>SEER</t>
  </si>
  <si>
    <t>YDUQS PART</t>
  </si>
  <si>
    <t>YDUQ</t>
  </si>
  <si>
    <t>Aluguel de carros</t>
  </si>
  <si>
    <t xml:space="preserve">LOCALIZA    </t>
  </si>
  <si>
    <t>RENT</t>
  </si>
  <si>
    <t>LOCAMERICA</t>
  </si>
  <si>
    <t>LCAM</t>
  </si>
  <si>
    <t>MAESTROLOC</t>
  </si>
  <si>
    <t>MSRO</t>
  </si>
  <si>
    <t>MOVIDA</t>
  </si>
  <si>
    <t>MOVI</t>
  </si>
  <si>
    <t xml:space="preserve">UNIDAS      </t>
  </si>
  <si>
    <t>UNID</t>
  </si>
  <si>
    <t>Programas de Fidelização</t>
  </si>
  <si>
    <t>SMILES</t>
  </si>
  <si>
    <t>SMLS</t>
  </si>
  <si>
    <t xml:space="preserve">AREZZO CO   </t>
  </si>
  <si>
    <t>ARZZ</t>
  </si>
  <si>
    <t>CEA MODAS</t>
  </si>
  <si>
    <t>CEAB</t>
  </si>
  <si>
    <t xml:space="preserve">GRAZZIOTIN  </t>
  </si>
  <si>
    <t>CGRA</t>
  </si>
  <si>
    <t xml:space="preserve">GUARARAPES  </t>
  </si>
  <si>
    <t>GUAR</t>
  </si>
  <si>
    <t>LE LIS BLANC</t>
  </si>
  <si>
    <t>LLIS</t>
  </si>
  <si>
    <t>LOJAS MARISA</t>
  </si>
  <si>
    <t>AMAR</t>
  </si>
  <si>
    <t>LOJAS RENNER</t>
  </si>
  <si>
    <t>LREN</t>
  </si>
  <si>
    <t xml:space="preserve">MAGAZ LUIZA </t>
  </si>
  <si>
    <t>MGLU</t>
  </si>
  <si>
    <t>VIAVAREJO</t>
  </si>
  <si>
    <t>VVAR</t>
  </si>
  <si>
    <t>Produtos Diversos</t>
  </si>
  <si>
    <t>B2W DIGITAL</t>
  </si>
  <si>
    <t>BTOW</t>
  </si>
  <si>
    <t>CENTAURO</t>
  </si>
  <si>
    <t>CNTO</t>
  </si>
  <si>
    <t>LOJAS AMERIC</t>
  </si>
  <si>
    <t>LAME</t>
  </si>
  <si>
    <t>SARAIVA LIVR</t>
  </si>
  <si>
    <t>SLED</t>
  </si>
  <si>
    <t>Saúde</t>
  </si>
  <si>
    <t>Medicamentos e Outros Produtos</t>
  </si>
  <si>
    <t xml:space="preserve">BIOMM       </t>
  </si>
  <si>
    <t>BIOM</t>
  </si>
  <si>
    <t>BIOTOSCANA</t>
  </si>
  <si>
    <t>GBIO</t>
  </si>
  <si>
    <t>NORTCQUIMICA</t>
  </si>
  <si>
    <t>NRTQ</t>
  </si>
  <si>
    <t>OUROFINO S/A</t>
  </si>
  <si>
    <t>OFSA</t>
  </si>
  <si>
    <t>Serviços Médico - Hospitalares,</t>
  </si>
  <si>
    <t>Análises e Diagnósticos</t>
  </si>
  <si>
    <t>ADVANCED-DH</t>
  </si>
  <si>
    <t>ADHM</t>
  </si>
  <si>
    <t>ALLIAR</t>
  </si>
  <si>
    <t>AALR</t>
  </si>
  <si>
    <t xml:space="preserve">DASA        </t>
  </si>
  <si>
    <t>DASA</t>
  </si>
  <si>
    <t xml:space="preserve">FLEURY      </t>
  </si>
  <si>
    <t>FLRY</t>
  </si>
  <si>
    <t>HAPVIDA</t>
  </si>
  <si>
    <t>HAPV</t>
  </si>
  <si>
    <t>IHPARDINI</t>
  </si>
  <si>
    <t>PARD</t>
  </si>
  <si>
    <t>INTERMEDICA</t>
  </si>
  <si>
    <t>GNDI</t>
  </si>
  <si>
    <t xml:space="preserve">ODONTOPREV  </t>
  </si>
  <si>
    <t>ODPV</t>
  </si>
  <si>
    <t xml:space="preserve">QUALICORP   </t>
  </si>
  <si>
    <t>QUAL</t>
  </si>
  <si>
    <t>Equipamentos</t>
  </si>
  <si>
    <t xml:space="preserve">BAUMER      </t>
  </si>
  <si>
    <t>BALM</t>
  </si>
  <si>
    <t>LIFEMED</t>
  </si>
  <si>
    <t>LMED</t>
  </si>
  <si>
    <t xml:space="preserve">DIMED       </t>
  </si>
  <si>
    <t>PNVL</t>
  </si>
  <si>
    <t>HYPERA</t>
  </si>
  <si>
    <t>HYPE</t>
  </si>
  <si>
    <t xml:space="preserve">PROFARMA    </t>
  </si>
  <si>
    <t>PFRM</t>
  </si>
  <si>
    <t xml:space="preserve">RAIADROGASIL    </t>
  </si>
  <si>
    <t>RADL</t>
  </si>
  <si>
    <t>Tecnologia da Informação</t>
  </si>
  <si>
    <t>Computadores e Equipamentos</t>
  </si>
  <si>
    <t>POSITIVO TEC</t>
  </si>
  <si>
    <t>POSI</t>
  </si>
  <si>
    <t>Programas e Serviços</t>
  </si>
  <si>
    <t>BRQ</t>
  </si>
  <si>
    <t>BRQB</t>
  </si>
  <si>
    <t>LINX</t>
  </si>
  <si>
    <t>LOCAWEB</t>
  </si>
  <si>
    <t>LWSA</t>
  </si>
  <si>
    <t>QUALITY SOFT</t>
  </si>
  <si>
    <t>QUSW</t>
  </si>
  <si>
    <t>SINQIA</t>
  </si>
  <si>
    <t>SQIA</t>
  </si>
  <si>
    <t xml:space="preserve">TOTVS       </t>
  </si>
  <si>
    <t>TOTS</t>
  </si>
  <si>
    <t>Comunicações</t>
  </si>
  <si>
    <t>Telecomunicações</t>
  </si>
  <si>
    <t>ALGAR TELEC</t>
  </si>
  <si>
    <t>ALGT</t>
  </si>
  <si>
    <t>OI</t>
  </si>
  <si>
    <t>OIBR</t>
  </si>
  <si>
    <t>N1</t>
  </si>
  <si>
    <t xml:space="preserve">TELEBRAS    </t>
  </si>
  <si>
    <t>TELB</t>
  </si>
  <si>
    <t>TELEF BRASIL</t>
  </si>
  <si>
    <t>VIVT</t>
  </si>
  <si>
    <t>TIM PART S/A</t>
  </si>
  <si>
    <t>TIMP</t>
  </si>
  <si>
    <t>Mídia</t>
  </si>
  <si>
    <t>Produção e Difusão de Filmes e Programas</t>
  </si>
  <si>
    <t>CINESYSTEM</t>
  </si>
  <si>
    <t>CNSY</t>
  </si>
  <si>
    <t>Utilidade Pública</t>
  </si>
  <si>
    <t>Energia Elétrica</t>
  </si>
  <si>
    <t xml:space="preserve">AES SUL     </t>
  </si>
  <si>
    <t>AESL</t>
  </si>
  <si>
    <t>AES TIETE E</t>
  </si>
  <si>
    <t>TIET</t>
  </si>
  <si>
    <t xml:space="preserve">AFLUENTE T  </t>
  </si>
  <si>
    <t>AFLT</t>
  </si>
  <si>
    <t>ALUPAR</t>
  </si>
  <si>
    <t>ALUP</t>
  </si>
  <si>
    <t xml:space="preserve">AMPLA ENERG </t>
  </si>
  <si>
    <t>CBEE</t>
  </si>
  <si>
    <t>CACHOEIRA</t>
  </si>
  <si>
    <t>CPTE</t>
  </si>
  <si>
    <t xml:space="preserve">CEB         </t>
  </si>
  <si>
    <t>CEBR</t>
  </si>
  <si>
    <t xml:space="preserve">CEEE-D      </t>
  </si>
  <si>
    <t>CEED</t>
  </si>
  <si>
    <t xml:space="preserve">CEEE-GT     </t>
  </si>
  <si>
    <t>EEEL</t>
  </si>
  <si>
    <t xml:space="preserve">CELESC      </t>
  </si>
  <si>
    <t>CLSC</t>
  </si>
  <si>
    <t xml:space="preserve">CELGPAR     </t>
  </si>
  <si>
    <t>GPAR</t>
  </si>
  <si>
    <t xml:space="preserve">CELPE       </t>
  </si>
  <si>
    <t>CEPE</t>
  </si>
  <si>
    <t xml:space="preserve">CEMIG       </t>
  </si>
  <si>
    <t>CMIG</t>
  </si>
  <si>
    <t xml:space="preserve">CEMIG DIST  </t>
  </si>
  <si>
    <t>CMGD</t>
  </si>
  <si>
    <t xml:space="preserve">CEMIG GT    </t>
  </si>
  <si>
    <t>CMGT</t>
  </si>
  <si>
    <t xml:space="preserve">CESP        </t>
  </si>
  <si>
    <t>CESP</t>
  </si>
  <si>
    <t xml:space="preserve">COELBA      </t>
  </si>
  <si>
    <t>CEEB</t>
  </si>
  <si>
    <t xml:space="preserve">COELCE      </t>
  </si>
  <si>
    <t>COCE</t>
  </si>
  <si>
    <t xml:space="preserve">COPEL       </t>
  </si>
  <si>
    <t>CPLE</t>
  </si>
  <si>
    <t xml:space="preserve">COSERN      </t>
  </si>
  <si>
    <t>CSRN</t>
  </si>
  <si>
    <t>CPFL ENERGIA</t>
  </si>
  <si>
    <t>CPFE</t>
  </si>
  <si>
    <t>CPFL GERACAO</t>
  </si>
  <si>
    <t>CPFG</t>
  </si>
  <si>
    <t>CPFL PIRATIN</t>
  </si>
  <si>
    <t>CPFP</t>
  </si>
  <si>
    <t>CPFL RENOVAV</t>
  </si>
  <si>
    <t>CPRE</t>
  </si>
  <si>
    <t xml:space="preserve">EBE         </t>
  </si>
  <si>
    <t>EBEN</t>
  </si>
  <si>
    <t xml:space="preserve">ELEKTRO     </t>
  </si>
  <si>
    <t>EKTR</t>
  </si>
  <si>
    <t xml:space="preserve">ELETROBRAS  </t>
  </si>
  <si>
    <t>ELET</t>
  </si>
  <si>
    <t xml:space="preserve">ELETROPAR   </t>
  </si>
  <si>
    <t>LIPR</t>
  </si>
  <si>
    <t xml:space="preserve">EMAE        </t>
  </si>
  <si>
    <t>EMAE</t>
  </si>
  <si>
    <t xml:space="preserve">ENERGIAS BR </t>
  </si>
  <si>
    <t>ENBR</t>
  </si>
  <si>
    <t xml:space="preserve">ENERGISA    </t>
  </si>
  <si>
    <t>ENGI</t>
  </si>
  <si>
    <t>ENERGISA MT</t>
  </si>
  <si>
    <t>ENMT</t>
  </si>
  <si>
    <t xml:space="preserve">ENERSUL     </t>
  </si>
  <si>
    <t>ENER</t>
  </si>
  <si>
    <t>ENEVA</t>
  </si>
  <si>
    <t>ENEV</t>
  </si>
  <si>
    <t>ENGIE BRASIL</t>
  </si>
  <si>
    <t>EGIE</t>
  </si>
  <si>
    <t>EQTL PARA</t>
  </si>
  <si>
    <t>EQPA</t>
  </si>
  <si>
    <t>EQTLMARANHAO</t>
  </si>
  <si>
    <t>EQMA</t>
  </si>
  <si>
    <t xml:space="preserve">EQUATORIAL  </t>
  </si>
  <si>
    <t>EQTL</t>
  </si>
  <si>
    <t xml:space="preserve">ESCELSA     </t>
  </si>
  <si>
    <t>ESCE</t>
  </si>
  <si>
    <t>FGENERGIA</t>
  </si>
  <si>
    <t>FGEN</t>
  </si>
  <si>
    <t xml:space="preserve">GER PARANAP </t>
  </si>
  <si>
    <t>GEPA</t>
  </si>
  <si>
    <t xml:space="preserve">ITAPEBI     </t>
  </si>
  <si>
    <t>ITPB</t>
  </si>
  <si>
    <t xml:space="preserve">LIGHT       </t>
  </si>
  <si>
    <t>LIGH</t>
  </si>
  <si>
    <t xml:space="preserve">LIGHT S/A   </t>
  </si>
  <si>
    <t>LIGT</t>
  </si>
  <si>
    <t xml:space="preserve">NEOENERGIA  </t>
  </si>
  <si>
    <t>NEOE</t>
  </si>
  <si>
    <t>OMEGA GER</t>
  </si>
  <si>
    <t>OMGE</t>
  </si>
  <si>
    <t xml:space="preserve">PAUL F LUZ  </t>
  </si>
  <si>
    <t>PALF</t>
  </si>
  <si>
    <t xml:space="preserve">PROMAN      </t>
  </si>
  <si>
    <t>PRMN</t>
  </si>
  <si>
    <t>REDE ENERGIA</t>
  </si>
  <si>
    <t>REDE</t>
  </si>
  <si>
    <t xml:space="preserve">RENOVA      </t>
  </si>
  <si>
    <t>RNEW</t>
  </si>
  <si>
    <t>STATKRAFT</t>
  </si>
  <si>
    <t>STKF</t>
  </si>
  <si>
    <t>STO ANTONIO</t>
  </si>
  <si>
    <t>STEN</t>
  </si>
  <si>
    <t xml:space="preserve">TAESA       </t>
  </si>
  <si>
    <t>TAEE</t>
  </si>
  <si>
    <t xml:space="preserve">TERMOPE     </t>
  </si>
  <si>
    <t>TMPE</t>
  </si>
  <si>
    <t>TERM. PE III</t>
  </si>
  <si>
    <t>TEPE</t>
  </si>
  <si>
    <t>TRAN PAULIST</t>
  </si>
  <si>
    <t>TRPL</t>
  </si>
  <si>
    <t xml:space="preserve">UPTICK      </t>
  </si>
  <si>
    <t>UPKP</t>
  </si>
  <si>
    <t>Água e Saneamento</t>
  </si>
  <si>
    <t xml:space="preserve">CASAN       </t>
  </si>
  <si>
    <t>CASN</t>
  </si>
  <si>
    <t xml:space="preserve">COPASA      </t>
  </si>
  <si>
    <t>CSMG</t>
  </si>
  <si>
    <t xml:space="preserve">IGUA SA  </t>
  </si>
  <si>
    <t>IGSN</t>
  </si>
  <si>
    <t xml:space="preserve">SABESP      </t>
  </si>
  <si>
    <t>SBSP</t>
  </si>
  <si>
    <t xml:space="preserve">SANEPAR     </t>
  </si>
  <si>
    <t>SAPR</t>
  </si>
  <si>
    <t xml:space="preserve">SANESALTO   </t>
  </si>
  <si>
    <t>SNST</t>
  </si>
  <si>
    <t>Gás</t>
  </si>
  <si>
    <t xml:space="preserve">CEG         </t>
  </si>
  <si>
    <t>CEGR</t>
  </si>
  <si>
    <t xml:space="preserve">COMGAS      </t>
  </si>
  <si>
    <t>CGAS</t>
  </si>
  <si>
    <t>Financeiro</t>
  </si>
  <si>
    <t>Intermediários Financeiros</t>
  </si>
  <si>
    <t>Bancos</t>
  </si>
  <si>
    <t xml:space="preserve">ABC BRASIL  </t>
  </si>
  <si>
    <t>ABCB</t>
  </si>
  <si>
    <t>ALFA HOLDING</t>
  </si>
  <si>
    <t>RPAD</t>
  </si>
  <si>
    <t xml:space="preserve">ALFA INVEST </t>
  </si>
  <si>
    <t>BRIV</t>
  </si>
  <si>
    <t xml:space="preserve">AMAZONIA    </t>
  </si>
  <si>
    <t>BAZA</t>
  </si>
  <si>
    <t>BANCO BMG</t>
  </si>
  <si>
    <t>BMGB</t>
  </si>
  <si>
    <t>BANCO INTER</t>
  </si>
  <si>
    <t>BIDI</t>
  </si>
  <si>
    <t>BANCO PAN</t>
  </si>
  <si>
    <t>BPAN</t>
  </si>
  <si>
    <t xml:space="preserve">BANESE      </t>
  </si>
  <si>
    <t>BGIP</t>
  </si>
  <si>
    <t xml:space="preserve">BANESTES    </t>
  </si>
  <si>
    <t>BEES</t>
  </si>
  <si>
    <t xml:space="preserve">BANPARA     </t>
  </si>
  <si>
    <t>BPAR</t>
  </si>
  <si>
    <t xml:space="preserve">BANRISUL    </t>
  </si>
  <si>
    <t>BRSR</t>
  </si>
  <si>
    <t xml:space="preserve">BRADESCO    </t>
  </si>
  <si>
    <t>BBDC</t>
  </si>
  <si>
    <t xml:space="preserve">BRASIL      </t>
  </si>
  <si>
    <t>BBAS</t>
  </si>
  <si>
    <t xml:space="preserve">BRB BANCO   </t>
  </si>
  <si>
    <t>BSLI</t>
  </si>
  <si>
    <t>BTGP BANCO</t>
  </si>
  <si>
    <t>BPAC</t>
  </si>
  <si>
    <t xml:space="preserve">INDUSVAL    </t>
  </si>
  <si>
    <t>IDVL</t>
  </si>
  <si>
    <t xml:space="preserve">ITAUSA      </t>
  </si>
  <si>
    <t>ITSA</t>
  </si>
  <si>
    <t>ITAUUNIBANCO</t>
  </si>
  <si>
    <t>ITUB</t>
  </si>
  <si>
    <t xml:space="preserve">MERC BRASIL </t>
  </si>
  <si>
    <t>BMEB</t>
  </si>
  <si>
    <t xml:space="preserve">MERC INVEST </t>
  </si>
  <si>
    <t>BMIN</t>
  </si>
  <si>
    <t xml:space="preserve">NORD BRASIL </t>
  </si>
  <si>
    <t>BNBR</t>
  </si>
  <si>
    <t xml:space="preserve">PARANA      </t>
  </si>
  <si>
    <t>PRBC</t>
  </si>
  <si>
    <t xml:space="preserve">PINE        </t>
  </si>
  <si>
    <t>PINE</t>
  </si>
  <si>
    <t>SANTANDER BR</t>
  </si>
  <si>
    <t>SANB</t>
  </si>
  <si>
    <t>Soc. Crédito e Financiamento</t>
  </si>
  <si>
    <t xml:space="preserve">ALFA FINANC </t>
  </si>
  <si>
    <t>CRIV</t>
  </si>
  <si>
    <t xml:space="preserve">FINANSINOS  </t>
  </si>
  <si>
    <t>FNCN</t>
  </si>
  <si>
    <t xml:space="preserve">MERC FINANC </t>
  </si>
  <si>
    <t>MERC</t>
  </si>
  <si>
    <t>Soc. Arrendamento Mercantil</t>
  </si>
  <si>
    <t>BRADESCO LSG</t>
  </si>
  <si>
    <t>BDLS</t>
  </si>
  <si>
    <t xml:space="preserve">BV LEASING  </t>
  </si>
  <si>
    <t>BVLS</t>
  </si>
  <si>
    <t xml:space="preserve">DIBENS LSG  </t>
  </si>
  <si>
    <t>DBEN</t>
  </si>
  <si>
    <t>Securitizadoras de Recebíveis</t>
  </si>
  <si>
    <t>BRAZIL REALT</t>
  </si>
  <si>
    <t>BZRS</t>
  </si>
  <si>
    <t>BRAZILIAN SC</t>
  </si>
  <si>
    <t>BSCS</t>
  </si>
  <si>
    <t xml:space="preserve">BRC SECURIT </t>
  </si>
  <si>
    <t>BRCS</t>
  </si>
  <si>
    <t>BRPR 56 SEC</t>
  </si>
  <si>
    <t>WTVR</t>
  </si>
  <si>
    <t>CIBRASEC</t>
  </si>
  <si>
    <t>CBSC</t>
  </si>
  <si>
    <t>ECO SEC AGRO</t>
  </si>
  <si>
    <t>ECOA</t>
  </si>
  <si>
    <t xml:space="preserve">GAIA AGRO   </t>
  </si>
  <si>
    <t>GAFL</t>
  </si>
  <si>
    <t>GAIA SECURIT</t>
  </si>
  <si>
    <t>GAIA</t>
  </si>
  <si>
    <t>OCTANTE SEC</t>
  </si>
  <si>
    <t>OCTS</t>
  </si>
  <si>
    <t xml:space="preserve">PDG SECURIT </t>
  </si>
  <si>
    <t>PDGS</t>
  </si>
  <si>
    <t>POLO CAP SEC</t>
  </si>
  <si>
    <t>PLSC</t>
  </si>
  <si>
    <t>RBCAPITALRES</t>
  </si>
  <si>
    <t>RBRA</t>
  </si>
  <si>
    <t>TRUESEC</t>
  </si>
  <si>
    <t>APCS</t>
  </si>
  <si>
    <t>VERTCIASEC</t>
  </si>
  <si>
    <t>VERT</t>
  </si>
  <si>
    <t xml:space="preserve">WTORRE PIC  </t>
  </si>
  <si>
    <t>WTPI</t>
  </si>
  <si>
    <t>Serviços Financeiros Diversos</t>
  </si>
  <si>
    <t>Gestão de Recursos e Investimentos</t>
  </si>
  <si>
    <t xml:space="preserve">BNDESPAR    </t>
  </si>
  <si>
    <t>BNDP</t>
  </si>
  <si>
    <t>BRAZILIAN FR</t>
  </si>
  <si>
    <t>BFRE</t>
  </si>
  <si>
    <t xml:space="preserve">GP INVEST   </t>
  </si>
  <si>
    <t>GPIV</t>
  </si>
  <si>
    <t xml:space="preserve">IDEIASNET   </t>
  </si>
  <si>
    <t>IDNT</t>
  </si>
  <si>
    <t>PPLA</t>
  </si>
  <si>
    <t xml:space="preserve">B3 </t>
  </si>
  <si>
    <t>B3SA</t>
  </si>
  <si>
    <t xml:space="preserve">CIELO       </t>
  </si>
  <si>
    <t>CIEL</t>
  </si>
  <si>
    <t>Previdência e Seguros</t>
  </si>
  <si>
    <t>Seguradoras</t>
  </si>
  <si>
    <t>ALFA CONSORC</t>
  </si>
  <si>
    <t>BRGE</t>
  </si>
  <si>
    <t>BBSEGURIDADE</t>
  </si>
  <si>
    <t>BBSE</t>
  </si>
  <si>
    <t>IRBBRASIL RE</t>
  </si>
  <si>
    <t>IRBR</t>
  </si>
  <si>
    <t>PORTO SEGURO</t>
  </si>
  <si>
    <t>PSSA</t>
  </si>
  <si>
    <t>SEG AL BAHIA</t>
  </si>
  <si>
    <t>CSAB</t>
  </si>
  <si>
    <t xml:space="preserve">SUL AMERICA </t>
  </si>
  <si>
    <t>SULA</t>
  </si>
  <si>
    <t>Corretoras de Seguros</t>
  </si>
  <si>
    <t>ALPER S.A.</t>
  </si>
  <si>
    <t>APER</t>
  </si>
  <si>
    <t>WIZ S.A.</t>
  </si>
  <si>
    <t>WIZS</t>
  </si>
  <si>
    <t>Exploração de Imóveis</t>
  </si>
  <si>
    <t>ALIANSCSONAE</t>
  </si>
  <si>
    <t>ALSO</t>
  </si>
  <si>
    <t>BR MALLS PAR</t>
  </si>
  <si>
    <t>BRML</t>
  </si>
  <si>
    <t xml:space="preserve">BR PROPERT  </t>
  </si>
  <si>
    <t>BRPR</t>
  </si>
  <si>
    <t xml:space="preserve">COR RIBEIRO </t>
  </si>
  <si>
    <t>CORR</t>
  </si>
  <si>
    <t>CYRE COM-CCP</t>
  </si>
  <si>
    <t>CCPR</t>
  </si>
  <si>
    <t>GENERALSHOPP</t>
  </si>
  <si>
    <t>GSHP</t>
  </si>
  <si>
    <t xml:space="preserve">HABITASUL   </t>
  </si>
  <si>
    <t>HBTS</t>
  </si>
  <si>
    <t xml:space="preserve">IGB S/A     </t>
  </si>
  <si>
    <t>IGBR</t>
  </si>
  <si>
    <t xml:space="preserve">IGUATEMI    </t>
  </si>
  <si>
    <t>IGTA</t>
  </si>
  <si>
    <t xml:space="preserve">JEREISSATI  </t>
  </si>
  <si>
    <t>JPSA</t>
  </si>
  <si>
    <t>LOG COM PROP</t>
  </si>
  <si>
    <t>LOGG</t>
  </si>
  <si>
    <t>MENEZES CORT</t>
  </si>
  <si>
    <t>MNZC</t>
  </si>
  <si>
    <t xml:space="preserve">MULTIPLAN   </t>
  </si>
  <si>
    <t>MULT</t>
  </si>
  <si>
    <t xml:space="preserve">SAO CARLOS  </t>
  </si>
  <si>
    <t>SCAR</t>
  </si>
  <si>
    <t>Intermediação Imobiliária</t>
  </si>
  <si>
    <t xml:space="preserve">BR BROKERS  </t>
  </si>
  <si>
    <t>BBRK</t>
  </si>
  <si>
    <t>LOPES BRASIL</t>
  </si>
  <si>
    <t>LPSB</t>
  </si>
  <si>
    <t>Holdings Diversificadas</t>
  </si>
  <si>
    <t xml:space="preserve">MONT ARANHA </t>
  </si>
  <si>
    <t>MOAR</t>
  </si>
  <si>
    <t>PAR AL BAHIA</t>
  </si>
  <si>
    <t>PEAB</t>
  </si>
  <si>
    <t xml:space="preserve">SPRINGER    </t>
  </si>
  <si>
    <t>SPRI</t>
  </si>
  <si>
    <t>Outros Títulos</t>
  </si>
  <si>
    <t>CEPAC - CTBA</t>
  </si>
  <si>
    <t>CTBA</t>
  </si>
  <si>
    <t>CEPAC - MCRJ</t>
  </si>
  <si>
    <t>MCRJ</t>
  </si>
  <si>
    <t>CEPAC - PMSP</t>
  </si>
  <si>
    <t>PMSP</t>
  </si>
  <si>
    <t>Outros</t>
  </si>
  <si>
    <t>524 PARTICIP</t>
  </si>
  <si>
    <t>QVQP</t>
  </si>
  <si>
    <t xml:space="preserve">ALEF S/A    </t>
  </si>
  <si>
    <t>ALEF</t>
  </si>
  <si>
    <t>ATOMPAR</t>
  </si>
  <si>
    <t>ATOM</t>
  </si>
  <si>
    <t xml:space="preserve">BETAPART    </t>
  </si>
  <si>
    <t>BETP</t>
  </si>
  <si>
    <t>CABINDA PART</t>
  </si>
  <si>
    <t>CABI</t>
  </si>
  <si>
    <t>CACONDE PART</t>
  </si>
  <si>
    <t>CACO</t>
  </si>
  <si>
    <t xml:space="preserve">CAPITALPART </t>
  </si>
  <si>
    <t>CPTP</t>
  </si>
  <si>
    <t xml:space="preserve">CEMEPE      </t>
  </si>
  <si>
    <t>MAPT</t>
  </si>
  <si>
    <t xml:space="preserve">CIMS        </t>
  </si>
  <si>
    <t>CMSA</t>
  </si>
  <si>
    <t xml:space="preserve">GAMA PART   </t>
  </si>
  <si>
    <t>OPGM</t>
  </si>
  <si>
    <t>INVEST BEMGE</t>
  </si>
  <si>
    <t>FIGE</t>
  </si>
  <si>
    <t xml:space="preserve">J B DUARTE  </t>
  </si>
  <si>
    <t>JBDU</t>
  </si>
  <si>
    <t xml:space="preserve">LONGDIS     </t>
  </si>
  <si>
    <t>SPRT</t>
  </si>
  <si>
    <t>MGI PARTICIP</t>
  </si>
  <si>
    <t>MGIP</t>
  </si>
  <si>
    <t>OPPORT ENERG</t>
  </si>
  <si>
    <t>OPHE</t>
  </si>
  <si>
    <t xml:space="preserve">POLPAR      </t>
  </si>
  <si>
    <t>PPAR</t>
  </si>
  <si>
    <t xml:space="preserve">PROMPT PART </t>
  </si>
  <si>
    <t>PRPT</t>
  </si>
  <si>
    <t xml:space="preserve">SELECTPART  </t>
  </si>
  <si>
    <t>SLCT</t>
  </si>
  <si>
    <t xml:space="preserve">SUDESTE S/A </t>
  </si>
  <si>
    <t>OPSE</t>
  </si>
  <si>
    <t>SUL 116 PART</t>
  </si>
  <si>
    <t>OPTS</t>
  </si>
  <si>
    <t>(DR1) BDR Nível 1</t>
  </si>
  <si>
    <t>(DR2) BDR Nível 2</t>
  </si>
  <si>
    <t>(DR3) BDR Nível 3</t>
  </si>
  <si>
    <t>(N1) Nível 1 de Governança Corporativa</t>
  </si>
  <si>
    <t>(N2) Nível 2 de Governança Corporativa</t>
  </si>
  <si>
    <t>(NM) Novo Mercado</t>
  </si>
  <si>
    <t>(MA) Bovespa Mais</t>
  </si>
  <si>
    <t>(M2) Bovespa Mais - Nível 2</t>
  </si>
  <si>
    <t>(MB) Balcão Organizado Tradicional</t>
  </si>
  <si>
    <t>ATENÇÃO</t>
  </si>
  <si>
    <t>Este trabalho não é uma recomendação de investimento.</t>
  </si>
  <si>
    <t xml:space="preserve">As informações recebidas das empresas admitidas à negociação na B3 estão disponíveis para consulta em </t>
  </si>
  <si>
    <t>nosso site www.b3.com.br.</t>
  </si>
  <si>
    <t xml:space="preserve">Para mais esclarecimentos, sugerimos procurar sua corretora.  Ela pode ajudá-lo a avaliar os riscos e benefícios </t>
  </si>
  <si>
    <t>potenciais das negociações com valores mobiliários.</t>
  </si>
  <si>
    <t>B3 S.A. - Brasil, Bolsa, Balcão</t>
  </si>
  <si>
    <t>stDate</t>
  </si>
  <si>
    <t>AZUL4</t>
  </si>
  <si>
    <t>BBDC3</t>
  </si>
  <si>
    <t>BRDT3</t>
  </si>
  <si>
    <t>CIEL3</t>
  </si>
  <si>
    <t>CPFE3</t>
  </si>
  <si>
    <t>CRFB3</t>
  </si>
  <si>
    <t>CSNA3</t>
  </si>
  <si>
    <t>CVCB3</t>
  </si>
  <si>
    <t>ENGI11</t>
  </si>
  <si>
    <t>GNDI3</t>
  </si>
  <si>
    <t>GOLL4</t>
  </si>
  <si>
    <t>HAPV3</t>
  </si>
  <si>
    <t>JBSS3</t>
  </si>
  <si>
    <t>MGLU3</t>
  </si>
  <si>
    <t>NTCO3</t>
  </si>
  <si>
    <t>PETR3</t>
  </si>
  <si>
    <t>QUAL3</t>
  </si>
  <si>
    <t>RAIL3</t>
  </si>
  <si>
    <t>SANB11</t>
  </si>
  <si>
    <t>SBSP3</t>
  </si>
  <si>
    <t>UGPA3</t>
  </si>
  <si>
    <t>USIM5</t>
  </si>
  <si>
    <t>VVAR3</t>
  </si>
  <si>
    <t>Nome</t>
  </si>
  <si>
    <t>Ticker</t>
  </si>
  <si>
    <t>Peso</t>
  </si>
  <si>
    <t>Grand Total</t>
  </si>
  <si>
    <t>%IBOV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</si>
</sst>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dd\-mmm\-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9"/>
      <color indexed="9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C0C0C0"/>
        <bgColor indexed="64"/>
      </patternFill>
    </fill>
  </fills>
  <borders count="1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89">
    <xf numFmtId="0" fontId="0" fillId="0" borderId="0" xfId="0"/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5" fillId="0" borderId="0" xfId="0" applyFont="1"/>
    <xf numFmtId="0" fontId="8" fillId="0" borderId="0" xfId="0" applyFont="1"/>
    <xf numFmtId="0" fontId="7" fillId="5" borderId="1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9" fillId="6" borderId="9" xfId="0" applyFont="1" applyFill="1" applyBorder="1"/>
    <xf numFmtId="0" fontId="10" fillId="6" borderId="9" xfId="0" applyFont="1" applyFill="1" applyBorder="1"/>
    <xf numFmtId="0" fontId="9" fillId="6" borderId="9" xfId="0" applyFont="1" applyFill="1" applyBorder="1" applyAlignment="1">
      <alignment horizontal="center"/>
    </xf>
    <xf numFmtId="0" fontId="5" fillId="4" borderId="2" xfId="0" applyFont="1" applyFill="1" applyBorder="1"/>
    <xf numFmtId="0" fontId="11" fillId="4" borderId="2" xfId="0" applyFont="1" applyFill="1" applyBorder="1"/>
    <xf numFmtId="0" fontId="11" fillId="4" borderId="2" xfId="0" applyFont="1" applyFill="1" applyBorder="1" applyAlignment="1">
      <alignment horizontal="center"/>
    </xf>
    <xf numFmtId="0" fontId="12" fillId="0" borderId="0" xfId="0" applyFont="1"/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0" fontId="9" fillId="6" borderId="2" xfId="0" applyFont="1" applyFill="1" applyBorder="1"/>
    <xf numFmtId="0" fontId="9" fillId="6" borderId="2" xfId="0" applyFont="1" applyFill="1" applyBorder="1" applyAlignment="1">
      <alignment horizontal="center"/>
    </xf>
    <xf numFmtId="0" fontId="5" fillId="4" borderId="3" xfId="0" applyFont="1" applyFill="1" applyBorder="1"/>
    <xf numFmtId="0" fontId="5" fillId="4" borderId="3" xfId="0" applyFont="1" applyFill="1" applyBorder="1" applyAlignment="1">
      <alignment horizontal="center"/>
    </xf>
    <xf numFmtId="0" fontId="10" fillId="6" borderId="2" xfId="0" applyFont="1" applyFill="1" applyBorder="1"/>
    <xf numFmtId="0" fontId="10" fillId="2" borderId="2" xfId="0" applyFont="1" applyFill="1" applyBorder="1"/>
    <xf numFmtId="0" fontId="9" fillId="2" borderId="2" xfId="0" applyFont="1" applyFill="1" applyBorder="1"/>
    <xf numFmtId="0" fontId="12" fillId="6" borderId="2" xfId="0" applyFont="1" applyFill="1" applyBorder="1" applyAlignment="1">
      <alignment horizontal="center"/>
    </xf>
    <xf numFmtId="0" fontId="5" fillId="2" borderId="2" xfId="0" applyFont="1" applyFill="1" applyBorder="1"/>
    <xf numFmtId="0" fontId="11" fillId="0" borderId="2" xfId="0" applyFont="1" applyBorder="1"/>
    <xf numFmtId="0" fontId="5" fillId="0" borderId="2" xfId="0" applyFont="1" applyBorder="1" applyAlignment="1">
      <alignment horizontal="center"/>
    </xf>
    <xf numFmtId="0" fontId="5" fillId="2" borderId="0" xfId="0" applyFont="1" applyFill="1"/>
    <xf numFmtId="0" fontId="5" fillId="2" borderId="2" xfId="0" applyFont="1" applyFill="1" applyBorder="1" applyAlignment="1">
      <alignment horizontal="center"/>
    </xf>
    <xf numFmtId="0" fontId="5" fillId="0" borderId="2" xfId="0" applyFont="1" applyBorder="1"/>
    <xf numFmtId="0" fontId="10" fillId="6" borderId="2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11" fillId="2" borderId="2" xfId="0" applyFont="1" applyFill="1" applyBorder="1"/>
    <xf numFmtId="0" fontId="11" fillId="2" borderId="2" xfId="0" applyFont="1" applyFill="1" applyBorder="1" applyAlignment="1">
      <alignment horizontal="center"/>
    </xf>
    <xf numFmtId="0" fontId="11" fillId="4" borderId="3" xfId="0" applyFont="1" applyFill="1" applyBorder="1"/>
    <xf numFmtId="0" fontId="11" fillId="4" borderId="3" xfId="0" applyFont="1" applyFill="1" applyBorder="1" applyAlignment="1">
      <alignment horizontal="center"/>
    </xf>
    <xf numFmtId="0" fontId="9" fillId="6" borderId="2" xfId="0" applyFont="1" applyFill="1" applyBorder="1" applyAlignment="1">
      <alignment vertical="center"/>
    </xf>
    <xf numFmtId="0" fontId="9" fillId="6" borderId="2" xfId="0" applyFont="1" applyFill="1" applyBorder="1" applyAlignment="1">
      <alignment vertical="justify"/>
    </xf>
    <xf numFmtId="0" fontId="5" fillId="2" borderId="3" xfId="0" applyFont="1" applyFill="1" applyBorder="1"/>
    <xf numFmtId="0" fontId="9" fillId="2" borderId="3" xfId="0" applyFont="1" applyFill="1" applyBorder="1" applyAlignment="1">
      <alignment vertical="center"/>
    </xf>
    <xf numFmtId="0" fontId="5" fillId="0" borderId="3" xfId="0" applyFont="1" applyBorder="1" applyAlignment="1">
      <alignment vertical="justify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9" fillId="0" borderId="2" xfId="0" applyFont="1" applyBorder="1"/>
    <xf numFmtId="0" fontId="13" fillId="0" borderId="0" xfId="0" applyFont="1"/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14" xfId="0" quotePrefix="1" applyFont="1" applyBorder="1"/>
    <xf numFmtId="0" fontId="13" fillId="0" borderId="15" xfId="0" applyFont="1" applyBorder="1"/>
    <xf numFmtId="0" fontId="8" fillId="0" borderId="15" xfId="0" applyFont="1" applyBorder="1"/>
    <xf numFmtId="0" fontId="8" fillId="0" borderId="15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10" xfId="0" quotePrefix="1" applyFont="1" applyBorder="1"/>
    <xf numFmtId="0" fontId="13" fillId="0" borderId="4" xfId="0" applyFont="1" applyBorder="1" applyAlignment="1">
      <alignment horizontal="center"/>
    </xf>
    <xf numFmtId="0" fontId="13" fillId="0" borderId="10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6" xfId="0" applyFont="1" applyBorder="1"/>
    <xf numFmtId="0" fontId="8" fillId="0" borderId="6" xfId="0" applyFont="1" applyBorder="1"/>
    <xf numFmtId="0" fontId="8" fillId="0" borderId="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4" xfId="0" applyFont="1" applyBorder="1"/>
    <xf numFmtId="0" fontId="13" fillId="0" borderId="15" xfId="0" applyFont="1" applyBorder="1" applyAlignment="1">
      <alignment horizontal="center"/>
    </xf>
    <xf numFmtId="0" fontId="13" fillId="0" borderId="10" xfId="0" applyFont="1" applyBorder="1"/>
    <xf numFmtId="0" fontId="13" fillId="0" borderId="7" xfId="0" applyFont="1" applyBorder="1"/>
    <xf numFmtId="0" fontId="13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2" fillId="0" borderId="1" xfId="3" applyNumberFormat="1" applyFont="1" applyFill="1" applyBorder="1" applyAlignment="1">
      <alignment horizontal="right" wrapText="1"/>
    </xf>
    <xf numFmtId="0" fontId="2" fillId="0" borderId="1" xfId="3" applyFont="1" applyFill="1" applyBorder="1" applyAlignment="1">
      <alignment wrapText="1"/>
    </xf>
    <xf numFmtId="0" fontId="0" fillId="0" borderId="0" xfId="0"/>
    <xf numFmtId="10" fontId="0" fillId="0" borderId="0" xfId="1" applyNumberFormat="1" applyFont="1"/>
    <xf numFmtId="10" fontId="2" fillId="0" borderId="1" xfId="1" applyNumberFormat="1" applyFont="1" applyFill="1" applyBorder="1" applyAlignment="1">
      <alignment horizontal="right" wrapText="1"/>
    </xf>
    <xf numFmtId="0" fontId="6" fillId="5" borderId="9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6" fillId="5" borderId="9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4">
    <cellStyle name="Comma 2" xfId="2" xr:uid="{FFA5975B-68B7-4BBC-9AE7-FE0756C8FF49}"/>
    <cellStyle name="Normal" xfId="0" builtinId="0"/>
    <cellStyle name="Normal_Sheet5" xfId="3" xr:uid="{25597AA8-2061-4D84-A6B4-717E5ECD488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3992.285134375001" createdVersion="6" refreshedVersion="6" minRefreshableVersion="3" recordCount="75" xr:uid="{EDB13AD4-8A3F-489E-ACC0-25D6CC5B54E3}">
  <cacheSource type="worksheet">
    <worksheetSource ref="A1:G76" sheet="IBOVESPA"/>
  </cacheSource>
  <cacheFields count="7">
    <cacheField name="stDate" numFmtId="165">
      <sharedItems containsSemiMixedTypes="0" containsNonDate="0" containsDate="1" containsString="0" minDate="2020-06-08T00:00:00" maxDate="2020-06-09T00:00:00"/>
    </cacheField>
    <cacheField name="Ticker" numFmtId="0">
      <sharedItems/>
    </cacheField>
    <cacheField name="Peso" numFmtId="10">
      <sharedItems containsSemiMixedTypes="0" containsString="0" containsNumber="1" minValue="1.2095299999999999E-3" maxValue="0.10224850000000001"/>
    </cacheField>
    <cacheField name="Nome" numFmtId="0">
      <sharedItems count="72">
        <s v="VALE        "/>
        <s v="ITAUUNIBANCO"/>
        <s v="B3 "/>
        <s v="PETROBRAS   "/>
        <s v="BRADESCO    "/>
        <s v="AMBEV S/A"/>
        <s v="BRASIL      "/>
        <s v="ITAUSA      "/>
        <s v="MAGAZ LUIZA "/>
        <s v="LOJAS RENNER"/>
        <s v="JBS         "/>
        <s v="WEG         "/>
        <s v="INTERMEDICA"/>
        <s v="GRUPO NATURA      "/>
        <s v="SUZANO S.A."/>
        <s v="LOCALIZA    "/>
        <s v="RUMO S.A."/>
        <s v="RAIADROGASIL    "/>
        <s v="EQUATORIAL  "/>
        <s v="ULTRAPAR    "/>
        <s v="LOJAS AMERIC"/>
        <s v="TELEF BRASIL"/>
        <s v="BBSEGURIDADE"/>
        <s v="BRF SA   "/>
        <s v="SABESP      "/>
        <s v="B2W DIGITAL"/>
        <s v="VIAVAREJO"/>
        <s v="PETROBRAS BR"/>
        <s v="CCR SA      "/>
        <s v="GERDAU      "/>
        <s v="HYPERA"/>
        <s v="BTGP BANCO"/>
        <s v="HAPVIDA"/>
        <s v="SUL AMERICA "/>
        <s v="COGNA ON"/>
        <s v="ENERGISA    "/>
        <s v="KLABIN S/A  "/>
        <s v="SANTANDER BR"/>
        <s v="TIM PART S/A"/>
        <s v="CEMIG       "/>
        <s v="ELETROBRAS  "/>
        <s v="ENGIE BRASIL"/>
        <s v="YDUQS PART"/>
        <s v="IRBBRASIL RE"/>
        <s v="COSAN       "/>
        <s v="P.ACUCAR-CBD"/>
        <s v="BR MALLS PAR"/>
        <s v="AZUL"/>
        <s v="TOTVS       "/>
        <s v="SID NACIONAL"/>
        <s v="FLEURY      "/>
        <s v="BRADESPAR   "/>
        <s v="EMBRAER     "/>
        <s v="QUALICORP   "/>
        <s v="BRASKEM     "/>
        <s v="CARREFOUR BR"/>
        <s v="TAESA       "/>
        <s v="CYRELA REALT"/>
        <s v="MULTIPLAN   "/>
        <s v="CPFL ENERGIA"/>
        <s v="MARFRIG     "/>
        <s v="ENERGIAS BR "/>
        <s v="MRV         "/>
        <s v="CIELO       "/>
        <s v="GERDAU MET  "/>
        <s v="USIMINAS    "/>
        <s v="MINERVA     "/>
        <s v="CVC BRASIL"/>
        <s v="GOL         "/>
        <s v="IGUATEMI    "/>
        <s v="ECORODOVIAS "/>
        <s v="CIA HERING  "/>
      </sharedItems>
    </cacheField>
    <cacheField name="SETOR ECONÔMICO" numFmtId="0">
      <sharedItems count="10">
        <s v="Materiais Básicos"/>
        <s v="Financeiro"/>
        <s v="Petróleo, Gás e Biocombustíveis"/>
        <s v="Consumo não Cíclico"/>
        <s v="Consumo Cíclico"/>
        <s v="Bens Industriais"/>
        <s v="Saúde"/>
        <s v="Utilidade Pública"/>
        <s v="Comunicações"/>
        <s v="Tecnologia da Informação"/>
      </sharedItems>
    </cacheField>
    <cacheField name="SUBSETOR" numFmtId="0">
      <sharedItems count="33">
        <s v="Mineração"/>
        <s v="Bancos"/>
        <s v="Serviços Financeiros Diversos"/>
        <s v="Exploração, Refino e Distribuição"/>
        <s v="Cervejas e Refrigerantes"/>
        <s v="Eletrodomésticos"/>
        <s v="Tecidos, Vestuário e Calçados"/>
        <s v="Carnes e Derivados"/>
        <s v="Motores, Compressores e Outros"/>
        <s v="Análises e Diagnósticos"/>
        <s v="Produtos de Uso Pessoal"/>
        <s v="Papel e Celulose"/>
        <s v="Aluguel de carros"/>
        <s v="Transporte Ferroviário"/>
        <s v="Medicamentos e Outros Produtos"/>
        <s v="Energia Elétrica"/>
        <s v="Produtos Diversos"/>
        <s v="Telecomunicações"/>
        <s v="Seguradoras"/>
        <s v="Água e Saneamento"/>
        <s v="Exploração de Rodovias"/>
        <s v="Siderurgia"/>
        <s v="Serviços Educacionais"/>
        <s v="Alimentos"/>
        <s v="Exploração de Imóveis"/>
        <s v="Transporte Aéreo"/>
        <s v="Programas e Serviços"/>
        <s v="Minerais Metálicos"/>
        <s v="Material Aeronáutico e de Defesa"/>
        <s v="Petroquímicos"/>
        <s v="Incorporações"/>
        <s v="Viagens e Turismo"/>
        <s v="Vestuário"/>
      </sharedItems>
    </cacheField>
    <cacheField name="SEGMENTO" numFmtId="0">
      <sharedItems count="32">
        <s v="Minerais Metálicos"/>
        <s v="Bancos"/>
        <s v="Serviços Financeiros Diversos"/>
        <s v="Exploração, Refino e Distribuição"/>
        <s v="Cervejas e Refrigerantes"/>
        <s v="Eletrodomésticos"/>
        <s v="Tecidos, Vestuário e Calçados"/>
        <s v="Carnes e Derivados"/>
        <s v="Motores, Compressores e Outros"/>
        <s v="Análises e Diagnósticos"/>
        <s v="Produtos de Uso Pessoal"/>
        <s v="Papel e Celulose"/>
        <s v="Aluguel de carros"/>
        <s v="Transporte Ferroviário"/>
        <s v="Medicamentos e Outros Produtos"/>
        <s v="Energia Elétrica"/>
        <s v="Produtos Diversos"/>
        <s v="Telecomunicações"/>
        <s v="Seguradoras"/>
        <s v="Água e Saneamento"/>
        <s v="Exploração de Rodovias"/>
        <s v="Siderurgia"/>
        <s v="Serviços Educacionais"/>
        <s v="Alimentos"/>
        <s v="Exploração de Imóveis"/>
        <s v="Transporte Aéreo"/>
        <s v="Programas e Serviços"/>
        <s v="Material Aeronáutico e de Defesa"/>
        <s v="Petroquímicos"/>
        <s v="Incorporações"/>
        <s v="Viagens e Turismo"/>
        <s v="Vestuár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d v="2020-06-08T00:00:00"/>
    <s v="VALE3"/>
    <n v="0.10224850000000001"/>
    <x v="0"/>
    <x v="0"/>
    <x v="0"/>
    <x v="0"/>
  </r>
  <r>
    <d v="2020-06-08T00:00:00"/>
    <s v="ITUB4"/>
    <n v="7.6195009999999994E-2"/>
    <x v="1"/>
    <x v="1"/>
    <x v="1"/>
    <x v="1"/>
  </r>
  <r>
    <d v="2020-06-08T00:00:00"/>
    <s v="B3SA3"/>
    <n v="5.9998780000000002E-2"/>
    <x v="2"/>
    <x v="1"/>
    <x v="2"/>
    <x v="2"/>
  </r>
  <r>
    <d v="2020-06-08T00:00:00"/>
    <s v="PETR4"/>
    <n v="5.774191E-2"/>
    <x v="3"/>
    <x v="2"/>
    <x v="3"/>
    <x v="3"/>
  </r>
  <r>
    <d v="2020-06-08T00:00:00"/>
    <s v="BBDC4"/>
    <n v="5.6710629999999998E-2"/>
    <x v="4"/>
    <x v="1"/>
    <x v="1"/>
    <x v="1"/>
  </r>
  <r>
    <d v="2020-06-08T00:00:00"/>
    <s v="PETR3"/>
    <n v="3.9053640000000001E-2"/>
    <x v="3"/>
    <x v="2"/>
    <x v="3"/>
    <x v="3"/>
  </r>
  <r>
    <d v="2020-06-08T00:00:00"/>
    <s v="ABEV3"/>
    <n v="3.6044399999999997E-2"/>
    <x v="5"/>
    <x v="3"/>
    <x v="4"/>
    <x v="4"/>
  </r>
  <r>
    <d v="2020-06-08T00:00:00"/>
    <s v="BBAS3"/>
    <n v="2.9266779999999999E-2"/>
    <x v="6"/>
    <x v="1"/>
    <x v="1"/>
    <x v="1"/>
  </r>
  <r>
    <d v="2020-06-08T00:00:00"/>
    <s v="ITSA4"/>
    <n v="2.649982E-2"/>
    <x v="7"/>
    <x v="1"/>
    <x v="1"/>
    <x v="1"/>
  </r>
  <r>
    <d v="2020-06-08T00:00:00"/>
    <s v="MGLU3"/>
    <n v="2.3408209999999999E-2"/>
    <x v="8"/>
    <x v="4"/>
    <x v="5"/>
    <x v="5"/>
  </r>
  <r>
    <d v="2020-06-08T00:00:00"/>
    <s v="LREN3"/>
    <n v="2.057546E-2"/>
    <x v="9"/>
    <x v="4"/>
    <x v="6"/>
    <x v="6"/>
  </r>
  <r>
    <d v="2020-06-08T00:00:00"/>
    <s v="JBSS3"/>
    <n v="2.0114429999999999E-2"/>
    <x v="10"/>
    <x v="3"/>
    <x v="7"/>
    <x v="7"/>
  </r>
  <r>
    <d v="2020-06-08T00:00:00"/>
    <s v="WEGE3"/>
    <n v="1.7899040000000001E-2"/>
    <x v="11"/>
    <x v="5"/>
    <x v="8"/>
    <x v="8"/>
  </r>
  <r>
    <d v="2020-06-08T00:00:00"/>
    <s v="GNDI3"/>
    <n v="1.6695729999999999E-2"/>
    <x v="12"/>
    <x v="6"/>
    <x v="9"/>
    <x v="9"/>
  </r>
  <r>
    <d v="2020-06-08T00:00:00"/>
    <s v="NTCO3"/>
    <n v="1.6539459999999999E-2"/>
    <x v="13"/>
    <x v="3"/>
    <x v="10"/>
    <x v="10"/>
  </r>
  <r>
    <d v="2020-06-08T00:00:00"/>
    <s v="SUZB3"/>
    <n v="1.5704869999999999E-2"/>
    <x v="14"/>
    <x v="0"/>
    <x v="11"/>
    <x v="11"/>
  </r>
  <r>
    <d v="2020-06-08T00:00:00"/>
    <s v="BBDC3"/>
    <n v="1.522578E-2"/>
    <x v="4"/>
    <x v="1"/>
    <x v="1"/>
    <x v="1"/>
  </r>
  <r>
    <d v="2020-06-08T00:00:00"/>
    <s v="RENT3"/>
    <n v="1.453058E-2"/>
    <x v="15"/>
    <x v="4"/>
    <x v="12"/>
    <x v="12"/>
  </r>
  <r>
    <d v="2020-06-08T00:00:00"/>
    <s v="RAIL3"/>
    <n v="1.4440730000000001E-2"/>
    <x v="16"/>
    <x v="5"/>
    <x v="13"/>
    <x v="13"/>
  </r>
  <r>
    <d v="2020-06-08T00:00:00"/>
    <s v="RADL3"/>
    <n v="1.301329E-2"/>
    <x v="17"/>
    <x v="6"/>
    <x v="14"/>
    <x v="14"/>
  </r>
  <r>
    <d v="2020-06-08T00:00:00"/>
    <s v="EQTL3"/>
    <n v="1.234304E-2"/>
    <x v="18"/>
    <x v="7"/>
    <x v="15"/>
    <x v="15"/>
  </r>
  <r>
    <d v="2020-06-08T00:00:00"/>
    <s v="UGPA3"/>
    <n v="1.178386E-2"/>
    <x v="19"/>
    <x v="2"/>
    <x v="3"/>
    <x v="3"/>
  </r>
  <r>
    <d v="2020-06-08T00:00:00"/>
    <s v="LAME4"/>
    <n v="1.1762999999999999E-2"/>
    <x v="20"/>
    <x v="4"/>
    <x v="16"/>
    <x v="16"/>
  </r>
  <r>
    <d v="2020-06-08T00:00:00"/>
    <s v="VIVT4"/>
    <n v="1.1425090000000001E-2"/>
    <x v="21"/>
    <x v="8"/>
    <x v="17"/>
    <x v="17"/>
  </r>
  <r>
    <d v="2020-06-08T00:00:00"/>
    <s v="BBSE3"/>
    <n v="1.081443E-2"/>
    <x v="22"/>
    <x v="1"/>
    <x v="18"/>
    <x v="18"/>
  </r>
  <r>
    <d v="2020-06-08T00:00:00"/>
    <s v="BRFS3"/>
    <n v="1.069647E-2"/>
    <x v="23"/>
    <x v="3"/>
    <x v="7"/>
    <x v="7"/>
  </r>
  <r>
    <d v="2020-06-08T00:00:00"/>
    <s v="SBSP3"/>
    <n v="1.058863E-2"/>
    <x v="24"/>
    <x v="7"/>
    <x v="19"/>
    <x v="19"/>
  </r>
  <r>
    <d v="2020-06-08T00:00:00"/>
    <s v="BTOW3"/>
    <n v="1.0272150000000001E-2"/>
    <x v="25"/>
    <x v="4"/>
    <x v="16"/>
    <x v="16"/>
  </r>
  <r>
    <d v="2020-06-08T00:00:00"/>
    <s v="VVAR3"/>
    <n v="1.007723E-2"/>
    <x v="26"/>
    <x v="4"/>
    <x v="5"/>
    <x v="5"/>
  </r>
  <r>
    <d v="2020-06-08T00:00:00"/>
    <s v="BRDT3"/>
    <n v="9.9081099999999995E-3"/>
    <x v="27"/>
    <x v="2"/>
    <x v="3"/>
    <x v="3"/>
  </r>
  <r>
    <d v="2020-06-08T00:00:00"/>
    <s v="CCRO3"/>
    <n v="9.4508300000000003E-3"/>
    <x v="28"/>
    <x v="5"/>
    <x v="20"/>
    <x v="20"/>
  </r>
  <r>
    <d v="2020-06-08T00:00:00"/>
    <s v="GGBR4"/>
    <n v="9.0629100000000004E-3"/>
    <x v="29"/>
    <x v="0"/>
    <x v="21"/>
    <x v="21"/>
  </r>
  <r>
    <d v="2020-06-08T00:00:00"/>
    <s v="HYPE3"/>
    <n v="7.9945999999999993E-3"/>
    <x v="30"/>
    <x v="6"/>
    <x v="14"/>
    <x v="14"/>
  </r>
  <r>
    <d v="2020-06-08T00:00:00"/>
    <s v="BPAC11"/>
    <n v="7.5277699999999996E-3"/>
    <x v="31"/>
    <x v="1"/>
    <x v="1"/>
    <x v="1"/>
  </r>
  <r>
    <d v="2020-06-08T00:00:00"/>
    <s v="HAPV3"/>
    <n v="7.5159199999999997E-3"/>
    <x v="32"/>
    <x v="6"/>
    <x v="9"/>
    <x v="9"/>
  </r>
  <r>
    <d v="2020-06-08T00:00:00"/>
    <s v="SULA11"/>
    <n v="7.3174199999999998E-3"/>
    <x v="33"/>
    <x v="1"/>
    <x v="18"/>
    <x v="18"/>
  </r>
  <r>
    <d v="2020-06-08T00:00:00"/>
    <s v="COGN3"/>
    <n v="7.1567000000000002E-3"/>
    <x v="34"/>
    <x v="4"/>
    <x v="22"/>
    <x v="22"/>
  </r>
  <r>
    <d v="2020-06-08T00:00:00"/>
    <s v="ENGI11"/>
    <n v="7.1259399999999999E-3"/>
    <x v="35"/>
    <x v="7"/>
    <x v="15"/>
    <x v="15"/>
  </r>
  <r>
    <d v="2020-06-08T00:00:00"/>
    <s v="KLBN11"/>
    <n v="7.0875399999999998E-3"/>
    <x v="36"/>
    <x v="0"/>
    <x v="11"/>
    <x v="11"/>
  </r>
  <r>
    <d v="2020-06-08T00:00:00"/>
    <s v="SANB11"/>
    <n v="6.6398899999999999E-3"/>
    <x v="37"/>
    <x v="1"/>
    <x v="1"/>
    <x v="1"/>
  </r>
  <r>
    <d v="2020-06-08T00:00:00"/>
    <s v="TIMP3"/>
    <n v="6.6129800000000001E-3"/>
    <x v="38"/>
    <x v="8"/>
    <x v="17"/>
    <x v="17"/>
  </r>
  <r>
    <d v="2020-06-08T00:00:00"/>
    <s v="CMIG4"/>
    <n v="6.5780400000000003E-3"/>
    <x v="39"/>
    <x v="7"/>
    <x v="15"/>
    <x v="15"/>
  </r>
  <r>
    <d v="2020-06-08T00:00:00"/>
    <s v="ELET3"/>
    <n v="6.4350400000000004E-3"/>
    <x v="40"/>
    <x v="7"/>
    <x v="15"/>
    <x v="15"/>
  </r>
  <r>
    <d v="2020-06-08T00:00:00"/>
    <s v="EGIE3"/>
    <n v="6.3222699999999996E-3"/>
    <x v="41"/>
    <x v="7"/>
    <x v="15"/>
    <x v="15"/>
  </r>
  <r>
    <d v="2020-06-08T00:00:00"/>
    <s v="YDUQ3"/>
    <n v="6.3120800000000003E-3"/>
    <x v="42"/>
    <x v="4"/>
    <x v="22"/>
    <x v="22"/>
  </r>
  <r>
    <d v="2020-06-08T00:00:00"/>
    <s v="IRBR3"/>
    <n v="6.1516399999999999E-3"/>
    <x v="43"/>
    <x v="1"/>
    <x v="18"/>
    <x v="18"/>
  </r>
  <r>
    <d v="2020-06-08T00:00:00"/>
    <s v="CSAN3"/>
    <n v="6.0281299999999996E-3"/>
    <x v="44"/>
    <x v="2"/>
    <x v="3"/>
    <x v="3"/>
  </r>
  <r>
    <d v="2020-06-08T00:00:00"/>
    <s v="PCAR3"/>
    <n v="5.94803E-3"/>
    <x v="45"/>
    <x v="3"/>
    <x v="23"/>
    <x v="23"/>
  </r>
  <r>
    <d v="2020-06-08T00:00:00"/>
    <s v="BRML3"/>
    <n v="5.4700199999999999E-3"/>
    <x v="46"/>
    <x v="1"/>
    <x v="24"/>
    <x v="24"/>
  </r>
  <r>
    <d v="2020-06-08T00:00:00"/>
    <s v="AZUL4"/>
    <n v="4.9230699999999999E-3"/>
    <x v="47"/>
    <x v="5"/>
    <x v="25"/>
    <x v="25"/>
  </r>
  <r>
    <d v="2020-06-08T00:00:00"/>
    <s v="TOTS3"/>
    <n v="4.81001E-3"/>
    <x v="48"/>
    <x v="9"/>
    <x v="26"/>
    <x v="26"/>
  </r>
  <r>
    <d v="2020-06-08T00:00:00"/>
    <s v="CSNA3"/>
    <n v="4.5346099999999997E-3"/>
    <x v="49"/>
    <x v="0"/>
    <x v="21"/>
    <x v="21"/>
  </r>
  <r>
    <d v="2020-06-08T00:00:00"/>
    <s v="FLRY3"/>
    <n v="4.5084599999999997E-3"/>
    <x v="50"/>
    <x v="6"/>
    <x v="9"/>
    <x v="9"/>
  </r>
  <r>
    <d v="2020-06-08T00:00:00"/>
    <s v="BRAP4"/>
    <n v="4.4903800000000004E-3"/>
    <x v="51"/>
    <x v="0"/>
    <x v="27"/>
    <x v="0"/>
  </r>
  <r>
    <d v="2020-06-08T00:00:00"/>
    <s v="EMBR3"/>
    <n v="4.4661800000000001E-3"/>
    <x v="52"/>
    <x v="5"/>
    <x v="28"/>
    <x v="27"/>
  </r>
  <r>
    <d v="2020-06-08T00:00:00"/>
    <s v="ELET6"/>
    <n v="4.4596599999999998E-3"/>
    <x v="40"/>
    <x v="7"/>
    <x v="15"/>
    <x v="15"/>
  </r>
  <r>
    <d v="2020-06-08T00:00:00"/>
    <s v="QUAL3"/>
    <n v="4.4427800000000003E-3"/>
    <x v="53"/>
    <x v="6"/>
    <x v="9"/>
    <x v="9"/>
  </r>
  <r>
    <d v="2020-06-08T00:00:00"/>
    <s v="BRKM5"/>
    <n v="4.1336899999999998E-3"/>
    <x v="54"/>
    <x v="0"/>
    <x v="29"/>
    <x v="28"/>
  </r>
  <r>
    <d v="2020-06-08T00:00:00"/>
    <s v="CRFB3"/>
    <n v="4.0153699999999999E-3"/>
    <x v="55"/>
    <x v="3"/>
    <x v="23"/>
    <x v="23"/>
  </r>
  <r>
    <d v="2020-06-08T00:00:00"/>
    <s v="TAEE11"/>
    <n v="3.5864E-3"/>
    <x v="56"/>
    <x v="7"/>
    <x v="15"/>
    <x v="15"/>
  </r>
  <r>
    <d v="2020-06-08T00:00:00"/>
    <s v="CYRE3"/>
    <n v="3.5309500000000001E-3"/>
    <x v="57"/>
    <x v="4"/>
    <x v="30"/>
    <x v="29"/>
  </r>
  <r>
    <d v="2020-06-08T00:00:00"/>
    <s v="MULT3"/>
    <n v="3.5016600000000002E-3"/>
    <x v="58"/>
    <x v="1"/>
    <x v="24"/>
    <x v="24"/>
  </r>
  <r>
    <d v="2020-06-08T00:00:00"/>
    <s v="CPFE3"/>
    <n v="3.20499E-3"/>
    <x v="59"/>
    <x v="7"/>
    <x v="15"/>
    <x v="15"/>
  </r>
  <r>
    <d v="2020-06-08T00:00:00"/>
    <s v="MRFG3"/>
    <n v="3.0877299999999999E-3"/>
    <x v="60"/>
    <x v="3"/>
    <x v="7"/>
    <x v="7"/>
  </r>
  <r>
    <d v="2020-06-08T00:00:00"/>
    <s v="ENBR3"/>
    <n v="3.0684100000000001E-3"/>
    <x v="61"/>
    <x v="7"/>
    <x v="15"/>
    <x v="15"/>
  </r>
  <r>
    <d v="2020-06-08T00:00:00"/>
    <s v="MRVE3"/>
    <n v="3.0077099999999998E-3"/>
    <x v="62"/>
    <x v="4"/>
    <x v="30"/>
    <x v="29"/>
  </r>
  <r>
    <d v="2020-06-08T00:00:00"/>
    <s v="CIEL3"/>
    <n v="2.9422799999999998E-3"/>
    <x v="63"/>
    <x v="1"/>
    <x v="2"/>
    <x v="2"/>
  </r>
  <r>
    <d v="2020-06-08T00:00:00"/>
    <s v="GOAU4"/>
    <n v="2.71639E-3"/>
    <x v="64"/>
    <x v="0"/>
    <x v="21"/>
    <x v="21"/>
  </r>
  <r>
    <d v="2020-06-08T00:00:00"/>
    <s v="USIM5"/>
    <n v="2.1702399999999999E-3"/>
    <x v="65"/>
    <x v="0"/>
    <x v="21"/>
    <x v="21"/>
  </r>
  <r>
    <d v="2020-06-08T00:00:00"/>
    <s v="BEEF3"/>
    <n v="1.9183200000000001E-3"/>
    <x v="66"/>
    <x v="3"/>
    <x v="7"/>
    <x v="7"/>
  </r>
  <r>
    <d v="2020-06-08T00:00:00"/>
    <s v="CVCB3"/>
    <n v="1.90226E-3"/>
    <x v="67"/>
    <x v="4"/>
    <x v="31"/>
    <x v="30"/>
  </r>
  <r>
    <d v="2020-06-08T00:00:00"/>
    <s v="GOLL4"/>
    <n v="1.83102E-3"/>
    <x v="68"/>
    <x v="5"/>
    <x v="25"/>
    <x v="25"/>
  </r>
  <r>
    <d v="2020-06-08T00:00:00"/>
    <s v="IGTA3"/>
    <n v="1.82333E-3"/>
    <x v="69"/>
    <x v="1"/>
    <x v="24"/>
    <x v="24"/>
  </r>
  <r>
    <d v="2020-06-08T00:00:00"/>
    <s v="ECOR3"/>
    <n v="1.39777E-3"/>
    <x v="70"/>
    <x v="5"/>
    <x v="20"/>
    <x v="20"/>
  </r>
  <r>
    <d v="2020-06-08T00:00:00"/>
    <s v="HGTX3"/>
    <n v="1.2095299999999999E-3"/>
    <x v="71"/>
    <x v="4"/>
    <x v="32"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27DE2-1C4F-4ADA-92FD-A428E0F2CA48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">
  <location ref="I3:J80" firstHeaderRow="1" firstDataRow="1" firstDataCol="1"/>
  <pivotFields count="7">
    <pivotField numFmtId="165" showAll="0"/>
    <pivotField showAll="0"/>
    <pivotField dataField="1" numFmtId="10" showAll="0"/>
    <pivotField showAll="0" sortType="descending">
      <items count="73">
        <item x="5"/>
        <item x="47"/>
        <item x="25"/>
        <item x="2"/>
        <item x="22"/>
        <item x="46"/>
        <item x="4"/>
        <item x="51"/>
        <item x="6"/>
        <item x="54"/>
        <item x="23"/>
        <item x="31"/>
        <item x="55"/>
        <item x="28"/>
        <item x="39"/>
        <item x="71"/>
        <item x="63"/>
        <item x="34"/>
        <item x="44"/>
        <item x="59"/>
        <item x="67"/>
        <item x="57"/>
        <item x="70"/>
        <item x="40"/>
        <item x="52"/>
        <item x="61"/>
        <item x="35"/>
        <item x="41"/>
        <item x="18"/>
        <item x="50"/>
        <item x="29"/>
        <item x="64"/>
        <item x="68"/>
        <item x="13"/>
        <item x="32"/>
        <item x="30"/>
        <item x="69"/>
        <item x="12"/>
        <item x="43"/>
        <item x="7"/>
        <item x="1"/>
        <item x="10"/>
        <item x="36"/>
        <item x="15"/>
        <item x="20"/>
        <item x="9"/>
        <item x="8"/>
        <item x="60"/>
        <item x="66"/>
        <item x="62"/>
        <item x="58"/>
        <item x="45"/>
        <item x="3"/>
        <item x="27"/>
        <item x="53"/>
        <item x="17"/>
        <item x="16"/>
        <item x="24"/>
        <item x="37"/>
        <item x="49"/>
        <item x="33"/>
        <item x="14"/>
        <item x="56"/>
        <item x="21"/>
        <item x="38"/>
        <item x="48"/>
        <item x="19"/>
        <item x="65"/>
        <item x="0"/>
        <item x="26"/>
        <item x="11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1">
        <item x="5"/>
        <item x="8"/>
        <item x="4"/>
        <item x="3"/>
        <item x="1"/>
        <item x="0"/>
        <item x="2"/>
        <item x="6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34">
        <item x="19"/>
        <item x="23"/>
        <item x="12"/>
        <item x="9"/>
        <item x="1"/>
        <item x="7"/>
        <item x="4"/>
        <item x="5"/>
        <item x="15"/>
        <item x="24"/>
        <item x="20"/>
        <item x="3"/>
        <item x="30"/>
        <item x="28"/>
        <item x="14"/>
        <item x="0"/>
        <item x="27"/>
        <item x="8"/>
        <item x="11"/>
        <item x="29"/>
        <item x="10"/>
        <item x="16"/>
        <item x="26"/>
        <item x="18"/>
        <item x="22"/>
        <item x="2"/>
        <item x="21"/>
        <item x="6"/>
        <item x="17"/>
        <item x="25"/>
        <item x="13"/>
        <item x="32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3">
        <item x="19"/>
        <item x="23"/>
        <item x="12"/>
        <item x="9"/>
        <item x="1"/>
        <item x="7"/>
        <item x="4"/>
        <item x="5"/>
        <item x="15"/>
        <item x="24"/>
        <item x="20"/>
        <item x="3"/>
        <item x="29"/>
        <item x="27"/>
        <item x="14"/>
        <item x="0"/>
        <item x="8"/>
        <item x="11"/>
        <item x="28"/>
        <item x="10"/>
        <item x="16"/>
        <item x="26"/>
        <item x="18"/>
        <item x="22"/>
        <item x="2"/>
        <item x="21"/>
        <item x="6"/>
        <item x="17"/>
        <item x="25"/>
        <item x="13"/>
        <item x="31"/>
        <item x="30"/>
        <item t="default"/>
      </items>
    </pivotField>
  </pivotFields>
  <rowFields count="3">
    <field x="4"/>
    <field x="5"/>
    <field x="6"/>
  </rowFields>
  <rowItems count="77">
    <i>
      <x v="4"/>
    </i>
    <i r="1">
      <x v="4"/>
    </i>
    <i r="2">
      <x v="4"/>
    </i>
    <i r="1">
      <x v="25"/>
    </i>
    <i r="2">
      <x v="24"/>
    </i>
    <i r="1">
      <x v="23"/>
    </i>
    <i r="2">
      <x v="22"/>
    </i>
    <i r="1">
      <x v="9"/>
    </i>
    <i r="2">
      <x v="9"/>
    </i>
    <i>
      <x v="5"/>
    </i>
    <i r="1">
      <x v="15"/>
    </i>
    <i r="2">
      <x v="15"/>
    </i>
    <i r="1">
      <x v="18"/>
    </i>
    <i r="2">
      <x v="17"/>
    </i>
    <i r="1">
      <x v="26"/>
    </i>
    <i r="2">
      <x v="25"/>
    </i>
    <i r="1">
      <x v="16"/>
    </i>
    <i r="2">
      <x v="15"/>
    </i>
    <i r="1">
      <x v="19"/>
    </i>
    <i r="2">
      <x v="18"/>
    </i>
    <i>
      <x v="6"/>
    </i>
    <i r="1">
      <x v="11"/>
    </i>
    <i r="2">
      <x v="11"/>
    </i>
    <i>
      <x v="2"/>
    </i>
    <i r="1">
      <x v="7"/>
    </i>
    <i r="2">
      <x v="7"/>
    </i>
    <i r="1">
      <x v="21"/>
    </i>
    <i r="2">
      <x v="20"/>
    </i>
    <i r="1">
      <x v="27"/>
    </i>
    <i r="2">
      <x v="26"/>
    </i>
    <i r="1">
      <x v="2"/>
    </i>
    <i r="2">
      <x v="2"/>
    </i>
    <i r="1">
      <x v="24"/>
    </i>
    <i r="2">
      <x v="23"/>
    </i>
    <i r="1">
      <x v="12"/>
    </i>
    <i r="2">
      <x v="12"/>
    </i>
    <i r="1">
      <x v="32"/>
    </i>
    <i r="2">
      <x v="31"/>
    </i>
    <i r="1">
      <x v="31"/>
    </i>
    <i r="2">
      <x v="30"/>
    </i>
    <i>
      <x v="3"/>
    </i>
    <i r="1">
      <x v="6"/>
    </i>
    <i r="2">
      <x v="6"/>
    </i>
    <i r="1">
      <x v="5"/>
    </i>
    <i r="2">
      <x v="5"/>
    </i>
    <i r="1">
      <x v="20"/>
    </i>
    <i r="2">
      <x v="19"/>
    </i>
    <i r="1">
      <x v="1"/>
    </i>
    <i r="2">
      <x v="1"/>
    </i>
    <i>
      <x v="9"/>
    </i>
    <i r="1">
      <x v="8"/>
    </i>
    <i r="2">
      <x v="8"/>
    </i>
    <i r="1">
      <x/>
    </i>
    <i r="2">
      <x/>
    </i>
    <i>
      <x/>
    </i>
    <i r="1">
      <x v="17"/>
    </i>
    <i r="2">
      <x v="16"/>
    </i>
    <i r="1">
      <x v="30"/>
    </i>
    <i r="2">
      <x v="29"/>
    </i>
    <i r="1">
      <x v="10"/>
    </i>
    <i r="2">
      <x v="10"/>
    </i>
    <i r="1">
      <x v="29"/>
    </i>
    <i r="2">
      <x v="28"/>
    </i>
    <i r="1">
      <x v="13"/>
    </i>
    <i r="2">
      <x v="13"/>
    </i>
    <i>
      <x v="7"/>
    </i>
    <i r="1">
      <x v="3"/>
    </i>
    <i r="2">
      <x v="3"/>
    </i>
    <i r="1">
      <x v="14"/>
    </i>
    <i r="2">
      <x v="14"/>
    </i>
    <i>
      <x v="1"/>
    </i>
    <i r="1">
      <x v="28"/>
    </i>
    <i r="2">
      <x v="27"/>
    </i>
    <i>
      <x v="8"/>
    </i>
    <i r="1">
      <x v="22"/>
    </i>
    <i r="2">
      <x v="21"/>
    </i>
    <i t="grand">
      <x/>
    </i>
  </rowItems>
  <colItems count="1">
    <i/>
  </colItems>
  <dataFields count="1">
    <dataField name="%IBOV" fld="2" baseField="3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F228-2EF6-476B-B38B-EC2555F939FB}">
  <dimension ref="A1:G565"/>
  <sheetViews>
    <sheetView showGridLines="0" tabSelected="1" zoomScale="85" zoomScaleNormal="85" zoomScaleSheetLayoutView="100" workbookViewId="0">
      <selection activeCell="C147" sqref="C147:C154"/>
    </sheetView>
  </sheetViews>
  <sheetFormatPr defaultColWidth="9.109375" defaultRowHeight="13.2" x14ac:dyDescent="0.25"/>
  <cols>
    <col min="1" max="1" width="31.6640625" style="3" customWidth="1"/>
    <col min="2" max="2" width="37.109375" style="3" bestFit="1" customWidth="1"/>
    <col min="3" max="3" width="37.109375" style="3" customWidth="1"/>
    <col min="4" max="4" width="8" style="67" bestFit="1" customWidth="1"/>
    <col min="5" max="5" width="11.33203125" style="67" customWidth="1"/>
    <col min="6" max="6" width="3.109375" style="3" customWidth="1"/>
    <col min="7" max="16384" width="9.109375" style="3"/>
  </cols>
  <sheetData>
    <row r="1" spans="1:7" x14ac:dyDescent="0.25">
      <c r="A1" s="83" t="s">
        <v>53</v>
      </c>
      <c r="B1" s="84"/>
      <c r="C1" s="84"/>
      <c r="D1" s="84"/>
      <c r="E1" s="85"/>
    </row>
    <row r="2" spans="1:7" x14ac:dyDescent="0.25">
      <c r="A2" s="83"/>
      <c r="B2" s="84"/>
      <c r="C2" s="84"/>
      <c r="D2" s="84"/>
      <c r="E2" s="85"/>
    </row>
    <row r="3" spans="1:7" x14ac:dyDescent="0.25">
      <c r="A3" s="86"/>
      <c r="B3" s="87"/>
      <c r="C3" s="87"/>
      <c r="D3" s="87"/>
      <c r="E3" s="88"/>
    </row>
    <row r="6" spans="1:7" x14ac:dyDescent="0.25">
      <c r="A6" s="2"/>
      <c r="B6" s="2"/>
      <c r="C6" s="2"/>
      <c r="D6" s="1"/>
      <c r="E6" s="1"/>
    </row>
    <row r="7" spans="1:7" s="4" customFormat="1" ht="8.4" customHeight="1" x14ac:dyDescent="0.2">
      <c r="A7" s="79" t="s">
        <v>54</v>
      </c>
      <c r="B7" s="79" t="s">
        <v>55</v>
      </c>
      <c r="C7" s="79" t="s">
        <v>56</v>
      </c>
      <c r="D7" s="81" t="s">
        <v>57</v>
      </c>
      <c r="E7" s="82"/>
    </row>
    <row r="8" spans="1:7" s="4" customFormat="1" ht="8.4" customHeight="1" x14ac:dyDescent="0.2">
      <c r="A8" s="80"/>
      <c r="B8" s="80"/>
      <c r="C8" s="80"/>
      <c r="D8" s="5" t="s">
        <v>58</v>
      </c>
      <c r="E8" s="6" t="s">
        <v>56</v>
      </c>
    </row>
    <row r="9" spans="1:7" x14ac:dyDescent="0.25">
      <c r="A9" s="7" t="s">
        <v>59</v>
      </c>
      <c r="B9" s="7" t="s">
        <v>59</v>
      </c>
      <c r="C9" s="8" t="s">
        <v>60</v>
      </c>
      <c r="D9" s="9"/>
      <c r="E9" s="9"/>
    </row>
    <row r="10" spans="1:7" x14ac:dyDescent="0.25">
      <c r="A10" s="10"/>
      <c r="B10" s="10"/>
      <c r="C10" s="11" t="s">
        <v>61</v>
      </c>
      <c r="D10" s="12" t="s">
        <v>62</v>
      </c>
      <c r="E10" s="12" t="s">
        <v>63</v>
      </c>
      <c r="G10" s="13"/>
    </row>
    <row r="11" spans="1:7" x14ac:dyDescent="0.25">
      <c r="A11" s="10"/>
      <c r="B11" s="10"/>
      <c r="C11" s="10" t="s">
        <v>64</v>
      </c>
      <c r="D11" s="14" t="s">
        <v>65</v>
      </c>
      <c r="E11" s="14"/>
    </row>
    <row r="12" spans="1:7" x14ac:dyDescent="0.25">
      <c r="A12" s="10"/>
      <c r="B12" s="10"/>
      <c r="C12" s="10" t="s">
        <v>66</v>
      </c>
      <c r="D12" s="14" t="s">
        <v>67</v>
      </c>
      <c r="E12" s="14" t="s">
        <v>63</v>
      </c>
    </row>
    <row r="13" spans="1:7" x14ac:dyDescent="0.25">
      <c r="A13" s="10"/>
      <c r="B13" s="10"/>
      <c r="C13" s="10" t="s">
        <v>68</v>
      </c>
      <c r="D13" s="14" t="s">
        <v>69</v>
      </c>
      <c r="E13" s="14"/>
    </row>
    <row r="14" spans="1:7" x14ac:dyDescent="0.25">
      <c r="A14" s="10"/>
      <c r="B14" s="10"/>
      <c r="C14" s="10" t="s">
        <v>70</v>
      </c>
      <c r="D14" s="14" t="s">
        <v>71</v>
      </c>
      <c r="E14" s="15" t="s">
        <v>72</v>
      </c>
    </row>
    <row r="15" spans="1:7" x14ac:dyDescent="0.25">
      <c r="A15" s="10"/>
      <c r="B15" s="10"/>
      <c r="C15" s="10" t="s">
        <v>73</v>
      </c>
      <c r="D15" s="14" t="s">
        <v>74</v>
      </c>
      <c r="E15" s="14" t="s">
        <v>63</v>
      </c>
    </row>
    <row r="16" spans="1:7" x14ac:dyDescent="0.25">
      <c r="A16" s="10"/>
      <c r="B16" s="10"/>
      <c r="C16" s="10" t="s">
        <v>75</v>
      </c>
      <c r="D16" s="14" t="s">
        <v>76</v>
      </c>
      <c r="E16" s="14" t="s">
        <v>63</v>
      </c>
    </row>
    <row r="17" spans="1:7" ht="12.75" customHeight="1" x14ac:dyDescent="0.25">
      <c r="A17" s="10"/>
      <c r="B17" s="10"/>
      <c r="C17" s="11" t="s">
        <v>77</v>
      </c>
      <c r="D17" s="12" t="s">
        <v>78</v>
      </c>
      <c r="E17" s="12" t="s">
        <v>63</v>
      </c>
    </row>
    <row r="18" spans="1:7" x14ac:dyDescent="0.25">
      <c r="A18" s="10"/>
      <c r="B18" s="10"/>
      <c r="C18" s="16" t="s">
        <v>79</v>
      </c>
      <c r="D18" s="17"/>
      <c r="E18" s="17"/>
    </row>
    <row r="19" spans="1:7" x14ac:dyDescent="0.25">
      <c r="A19" s="10"/>
      <c r="B19" s="10"/>
      <c r="C19" s="11" t="s">
        <v>80</v>
      </c>
      <c r="D19" s="12" t="s">
        <v>81</v>
      </c>
      <c r="E19" s="12" t="s">
        <v>63</v>
      </c>
    </row>
    <row r="20" spans="1:7" x14ac:dyDescent="0.25">
      <c r="A20" s="18"/>
      <c r="B20" s="18"/>
      <c r="C20" s="18" t="s">
        <v>82</v>
      </c>
      <c r="D20" s="19" t="s">
        <v>83</v>
      </c>
      <c r="E20" s="19" t="s">
        <v>63</v>
      </c>
    </row>
    <row r="21" spans="1:7" x14ac:dyDescent="0.25">
      <c r="A21" s="2"/>
      <c r="B21" s="2"/>
      <c r="C21" s="2"/>
      <c r="D21" s="1"/>
      <c r="E21" s="1"/>
    </row>
    <row r="22" spans="1:7" s="4" customFormat="1" ht="8.4" customHeight="1" x14ac:dyDescent="0.2">
      <c r="A22" s="79" t="s">
        <v>54</v>
      </c>
      <c r="B22" s="79" t="s">
        <v>55</v>
      </c>
      <c r="C22" s="79" t="s">
        <v>56</v>
      </c>
      <c r="D22" s="81" t="s">
        <v>57</v>
      </c>
      <c r="E22" s="82"/>
    </row>
    <row r="23" spans="1:7" s="4" customFormat="1" ht="8.4" customHeight="1" x14ac:dyDescent="0.2">
      <c r="A23" s="80"/>
      <c r="B23" s="80"/>
      <c r="C23" s="80"/>
      <c r="D23" s="5" t="s">
        <v>58</v>
      </c>
      <c r="E23" s="6" t="s">
        <v>56</v>
      </c>
    </row>
    <row r="24" spans="1:7" x14ac:dyDescent="0.25">
      <c r="A24" s="16" t="s">
        <v>84</v>
      </c>
      <c r="B24" s="16" t="s">
        <v>85</v>
      </c>
      <c r="C24" s="16" t="s">
        <v>86</v>
      </c>
      <c r="D24" s="17"/>
      <c r="E24" s="17"/>
      <c r="G24" s="13"/>
    </row>
    <row r="25" spans="1:7" ht="12.75" customHeight="1" x14ac:dyDescent="0.25">
      <c r="A25" s="10"/>
      <c r="B25" s="10"/>
      <c r="C25" s="11" t="s">
        <v>87</v>
      </c>
      <c r="D25" s="12" t="s">
        <v>88</v>
      </c>
      <c r="E25" s="12" t="s">
        <v>89</v>
      </c>
    </row>
    <row r="26" spans="1:7" x14ac:dyDescent="0.25">
      <c r="A26" s="10"/>
      <c r="B26" s="10"/>
      <c r="C26" s="10" t="s">
        <v>90</v>
      </c>
      <c r="D26" s="14" t="s">
        <v>91</v>
      </c>
      <c r="E26" s="14" t="s">
        <v>92</v>
      </c>
    </row>
    <row r="27" spans="1:7" x14ac:dyDescent="0.25">
      <c r="A27" s="10"/>
      <c r="B27" s="10"/>
      <c r="C27" s="10" t="s">
        <v>93</v>
      </c>
      <c r="D27" s="14" t="s">
        <v>94</v>
      </c>
      <c r="E27" s="14" t="s">
        <v>92</v>
      </c>
    </row>
    <row r="28" spans="1:7" x14ac:dyDescent="0.25">
      <c r="A28" s="10"/>
      <c r="B28" s="10"/>
      <c r="C28" s="10" t="s">
        <v>95</v>
      </c>
      <c r="D28" s="14" t="s">
        <v>96</v>
      </c>
      <c r="E28" s="14" t="s">
        <v>63</v>
      </c>
    </row>
    <row r="29" spans="1:7" x14ac:dyDescent="0.25">
      <c r="A29" s="10"/>
      <c r="B29" s="10"/>
      <c r="C29" s="10" t="s">
        <v>97</v>
      </c>
      <c r="D29" s="14" t="s">
        <v>98</v>
      </c>
      <c r="E29" s="14" t="s">
        <v>63</v>
      </c>
    </row>
    <row r="30" spans="1:7" x14ac:dyDescent="0.25">
      <c r="A30" s="10"/>
      <c r="B30" s="16" t="s">
        <v>99</v>
      </c>
      <c r="C30" s="16" t="s">
        <v>100</v>
      </c>
      <c r="D30" s="17"/>
      <c r="E30" s="17"/>
    </row>
    <row r="31" spans="1:7" x14ac:dyDescent="0.25">
      <c r="A31" s="10"/>
      <c r="B31" s="10"/>
      <c r="C31" s="10" t="s">
        <v>101</v>
      </c>
      <c r="D31" s="14" t="s">
        <v>102</v>
      </c>
      <c r="E31" s="14" t="s">
        <v>89</v>
      </c>
    </row>
    <row r="32" spans="1:7" x14ac:dyDescent="0.25">
      <c r="A32" s="10"/>
      <c r="B32" s="10"/>
      <c r="C32" s="10" t="s">
        <v>103</v>
      </c>
      <c r="D32" s="14" t="s">
        <v>104</v>
      </c>
      <c r="E32" s="14" t="s">
        <v>89</v>
      </c>
    </row>
    <row r="33" spans="1:5" x14ac:dyDescent="0.25">
      <c r="A33" s="10"/>
      <c r="B33" s="10"/>
      <c r="C33" s="10" t="s">
        <v>105</v>
      </c>
      <c r="D33" s="14" t="s">
        <v>106</v>
      </c>
      <c r="E33" s="14" t="s">
        <v>89</v>
      </c>
    </row>
    <row r="34" spans="1:5" x14ac:dyDescent="0.25">
      <c r="A34" s="10"/>
      <c r="B34" s="10"/>
      <c r="C34" s="10" t="s">
        <v>107</v>
      </c>
      <c r="D34" s="14" t="s">
        <v>108</v>
      </c>
      <c r="E34" s="14"/>
    </row>
    <row r="35" spans="1:5" x14ac:dyDescent="0.25">
      <c r="A35" s="10"/>
      <c r="B35" s="10"/>
      <c r="C35" s="10" t="s">
        <v>109</v>
      </c>
      <c r="D35" s="14" t="s">
        <v>110</v>
      </c>
      <c r="E35" s="14" t="s">
        <v>89</v>
      </c>
    </row>
    <row r="36" spans="1:5" x14ac:dyDescent="0.25">
      <c r="A36" s="10"/>
      <c r="B36" s="10"/>
      <c r="C36" s="16" t="s">
        <v>111</v>
      </c>
      <c r="D36" s="17"/>
      <c r="E36" s="17"/>
    </row>
    <row r="37" spans="1:5" x14ac:dyDescent="0.25">
      <c r="A37" s="10"/>
      <c r="B37" s="10"/>
      <c r="C37" s="10" t="s">
        <v>112</v>
      </c>
      <c r="D37" s="14" t="s">
        <v>113</v>
      </c>
      <c r="E37" s="14"/>
    </row>
    <row r="38" spans="1:5" x14ac:dyDescent="0.25">
      <c r="A38" s="10"/>
      <c r="B38" s="10"/>
      <c r="C38" s="10" t="s">
        <v>114</v>
      </c>
      <c r="D38" s="14" t="s">
        <v>115</v>
      </c>
      <c r="E38" s="14"/>
    </row>
    <row r="39" spans="1:5" x14ac:dyDescent="0.25">
      <c r="A39" s="10"/>
      <c r="B39" s="10"/>
      <c r="C39" s="10" t="s">
        <v>116</v>
      </c>
      <c r="D39" s="14" t="s">
        <v>117</v>
      </c>
      <c r="E39" s="14"/>
    </row>
    <row r="40" spans="1:5" x14ac:dyDescent="0.25">
      <c r="A40" s="10"/>
      <c r="B40" s="10"/>
      <c r="C40" s="16" t="s">
        <v>118</v>
      </c>
      <c r="D40" s="17"/>
      <c r="E40" s="17"/>
    </row>
    <row r="41" spans="1:5" x14ac:dyDescent="0.25">
      <c r="A41" s="10"/>
      <c r="B41" s="10"/>
      <c r="C41" s="10" t="s">
        <v>119</v>
      </c>
      <c r="D41" s="14" t="s">
        <v>120</v>
      </c>
      <c r="E41" s="14" t="s">
        <v>63</v>
      </c>
    </row>
    <row r="42" spans="1:5" x14ac:dyDescent="0.25">
      <c r="A42" s="10"/>
      <c r="B42" s="16" t="s">
        <v>121</v>
      </c>
      <c r="C42" s="16" t="s">
        <v>122</v>
      </c>
      <c r="D42" s="17"/>
      <c r="E42" s="17"/>
    </row>
    <row r="43" spans="1:5" x14ac:dyDescent="0.25">
      <c r="A43" s="10"/>
      <c r="B43" s="10"/>
      <c r="C43" s="10" t="s">
        <v>123</v>
      </c>
      <c r="D43" s="14" t="s">
        <v>124</v>
      </c>
      <c r="E43" s="14" t="s">
        <v>89</v>
      </c>
    </row>
    <row r="44" spans="1:5" x14ac:dyDescent="0.25">
      <c r="A44" s="10"/>
      <c r="B44" s="10"/>
      <c r="C44" s="10" t="s">
        <v>125</v>
      </c>
      <c r="D44" s="14" t="s">
        <v>126</v>
      </c>
      <c r="E44" s="14"/>
    </row>
    <row r="45" spans="1:5" x14ac:dyDescent="0.25">
      <c r="A45" s="10"/>
      <c r="B45" s="10"/>
      <c r="C45" s="10" t="s">
        <v>127</v>
      </c>
      <c r="D45" s="14" t="s">
        <v>128</v>
      </c>
      <c r="E45" s="14"/>
    </row>
    <row r="46" spans="1:5" x14ac:dyDescent="0.25">
      <c r="A46" s="10"/>
      <c r="B46" s="10"/>
      <c r="C46" s="16" t="s">
        <v>129</v>
      </c>
      <c r="D46" s="17"/>
      <c r="E46" s="17"/>
    </row>
    <row r="47" spans="1:5" x14ac:dyDescent="0.25">
      <c r="A47" s="10"/>
      <c r="B47" s="10"/>
      <c r="C47" s="10" t="s">
        <v>130</v>
      </c>
      <c r="D47" s="14" t="s">
        <v>131</v>
      </c>
      <c r="E47" s="14" t="s">
        <v>63</v>
      </c>
    </row>
    <row r="48" spans="1:5" x14ac:dyDescent="0.25">
      <c r="A48" s="10"/>
      <c r="B48" s="10"/>
      <c r="C48" s="10" t="s">
        <v>132</v>
      </c>
      <c r="D48" s="14" t="s">
        <v>133</v>
      </c>
      <c r="E48" s="14" t="s">
        <v>134</v>
      </c>
    </row>
    <row r="49" spans="1:5" x14ac:dyDescent="0.25">
      <c r="A49" s="10"/>
      <c r="B49" s="10"/>
      <c r="C49" s="16" t="s">
        <v>135</v>
      </c>
      <c r="D49" s="17"/>
      <c r="E49" s="17"/>
    </row>
    <row r="50" spans="1:5" x14ac:dyDescent="0.25">
      <c r="A50" s="10"/>
      <c r="B50" s="10"/>
      <c r="C50" s="10" t="s">
        <v>136</v>
      </c>
      <c r="D50" s="14" t="s">
        <v>137</v>
      </c>
      <c r="E50" s="14"/>
    </row>
    <row r="51" spans="1:5" x14ac:dyDescent="0.25">
      <c r="A51" s="10"/>
      <c r="B51" s="10"/>
      <c r="C51" s="11" t="s">
        <v>138</v>
      </c>
      <c r="D51" s="12" t="s">
        <v>139</v>
      </c>
      <c r="E51" s="12"/>
    </row>
    <row r="52" spans="1:5" x14ac:dyDescent="0.25">
      <c r="A52" s="10"/>
      <c r="B52" s="16" t="s">
        <v>140</v>
      </c>
      <c r="C52" s="16" t="s">
        <v>141</v>
      </c>
      <c r="D52" s="17"/>
      <c r="E52" s="17"/>
    </row>
    <row r="53" spans="1:5" x14ac:dyDescent="0.25">
      <c r="A53" s="10"/>
      <c r="B53" s="10"/>
      <c r="C53" s="10" t="s">
        <v>142</v>
      </c>
      <c r="D53" s="14" t="s">
        <v>143</v>
      </c>
      <c r="E53" s="14" t="s">
        <v>63</v>
      </c>
    </row>
    <row r="54" spans="1:5" x14ac:dyDescent="0.25">
      <c r="A54" s="10"/>
      <c r="B54" s="10"/>
      <c r="C54" s="10" t="s">
        <v>144</v>
      </c>
      <c r="D54" s="14" t="s">
        <v>145</v>
      </c>
      <c r="E54" s="14" t="s">
        <v>89</v>
      </c>
    </row>
    <row r="55" spans="1:5" x14ac:dyDescent="0.25">
      <c r="A55" s="10"/>
      <c r="B55" s="10"/>
      <c r="C55" s="16" t="s">
        <v>146</v>
      </c>
      <c r="D55" s="17"/>
      <c r="E55" s="17"/>
    </row>
    <row r="56" spans="1:5" x14ac:dyDescent="0.25">
      <c r="A56" s="10"/>
      <c r="B56" s="10"/>
      <c r="C56" s="10" t="s">
        <v>147</v>
      </c>
      <c r="D56" s="14" t="s">
        <v>148</v>
      </c>
      <c r="E56" s="14"/>
    </row>
    <row r="57" spans="1:5" x14ac:dyDescent="0.25">
      <c r="A57" s="10"/>
      <c r="B57" s="10"/>
      <c r="C57" s="10" t="s">
        <v>149</v>
      </c>
      <c r="D57" s="14" t="s">
        <v>150</v>
      </c>
      <c r="E57" s="15" t="s">
        <v>72</v>
      </c>
    </row>
    <row r="58" spans="1:5" x14ac:dyDescent="0.25">
      <c r="A58" s="10"/>
      <c r="B58" s="10"/>
      <c r="C58" s="11" t="s">
        <v>151</v>
      </c>
      <c r="D58" s="12" t="s">
        <v>152</v>
      </c>
      <c r="E58" s="12"/>
    </row>
    <row r="59" spans="1:5" x14ac:dyDescent="0.25">
      <c r="A59" s="10"/>
      <c r="B59" s="10"/>
      <c r="C59" s="10" t="s">
        <v>153</v>
      </c>
      <c r="D59" s="14" t="s">
        <v>154</v>
      </c>
      <c r="E59" s="14"/>
    </row>
    <row r="60" spans="1:5" x14ac:dyDescent="0.25">
      <c r="A60" s="10"/>
      <c r="B60" s="10"/>
      <c r="C60" s="10" t="s">
        <v>155</v>
      </c>
      <c r="D60" s="14" t="s">
        <v>156</v>
      </c>
      <c r="E60" s="14"/>
    </row>
    <row r="61" spans="1:5" x14ac:dyDescent="0.25">
      <c r="A61" s="10"/>
      <c r="B61" s="10"/>
      <c r="C61" s="10" t="s">
        <v>157</v>
      </c>
      <c r="D61" s="14" t="s">
        <v>158</v>
      </c>
      <c r="E61" s="14" t="s">
        <v>63</v>
      </c>
    </row>
    <row r="62" spans="1:5" x14ac:dyDescent="0.25">
      <c r="A62" s="10"/>
      <c r="B62" s="16" t="s">
        <v>159</v>
      </c>
      <c r="C62" s="16" t="s">
        <v>159</v>
      </c>
      <c r="D62" s="17"/>
      <c r="E62" s="17"/>
    </row>
    <row r="63" spans="1:5" x14ac:dyDescent="0.25">
      <c r="A63" s="10"/>
      <c r="B63" s="10"/>
      <c r="C63" s="10" t="s">
        <v>160</v>
      </c>
      <c r="D63" s="14" t="s">
        <v>161</v>
      </c>
      <c r="E63" s="14"/>
    </row>
    <row r="64" spans="1:5" x14ac:dyDescent="0.25">
      <c r="A64" s="10"/>
      <c r="B64" s="16" t="s">
        <v>162</v>
      </c>
      <c r="C64" s="16" t="s">
        <v>162</v>
      </c>
      <c r="D64" s="17"/>
      <c r="E64" s="17"/>
    </row>
    <row r="65" spans="1:5" x14ac:dyDescent="0.25">
      <c r="A65" s="18"/>
      <c r="B65" s="18"/>
      <c r="C65" s="18" t="s">
        <v>163</v>
      </c>
      <c r="D65" s="19" t="s">
        <v>164</v>
      </c>
      <c r="E65" s="19"/>
    </row>
    <row r="66" spans="1:5" x14ac:dyDescent="0.25">
      <c r="A66" s="2"/>
      <c r="B66" s="2"/>
      <c r="C66" s="2"/>
      <c r="D66" s="1"/>
      <c r="E66" s="1"/>
    </row>
    <row r="67" spans="1:5" s="4" customFormat="1" ht="8.4" customHeight="1" x14ac:dyDescent="0.2">
      <c r="A67" s="79" t="s">
        <v>54</v>
      </c>
      <c r="B67" s="79" t="s">
        <v>55</v>
      </c>
      <c r="C67" s="79" t="s">
        <v>56</v>
      </c>
      <c r="D67" s="81" t="s">
        <v>57</v>
      </c>
      <c r="E67" s="82"/>
    </row>
    <row r="68" spans="1:5" s="4" customFormat="1" ht="8.4" customHeight="1" x14ac:dyDescent="0.2">
      <c r="A68" s="80"/>
      <c r="B68" s="80"/>
      <c r="C68" s="80"/>
      <c r="D68" s="5" t="s">
        <v>58</v>
      </c>
      <c r="E68" s="6" t="s">
        <v>56</v>
      </c>
    </row>
    <row r="69" spans="1:5" x14ac:dyDescent="0.25">
      <c r="A69" s="16" t="s">
        <v>165</v>
      </c>
      <c r="B69" s="20" t="s">
        <v>166</v>
      </c>
      <c r="C69" s="20" t="s">
        <v>167</v>
      </c>
      <c r="D69" s="17"/>
      <c r="E69" s="17"/>
    </row>
    <row r="70" spans="1:5" x14ac:dyDescent="0.25">
      <c r="A70" s="10"/>
      <c r="B70" s="11"/>
      <c r="C70" s="11" t="s">
        <v>168</v>
      </c>
      <c r="D70" s="12" t="s">
        <v>169</v>
      </c>
      <c r="E70" s="12" t="s">
        <v>63</v>
      </c>
    </row>
    <row r="71" spans="1:5" x14ac:dyDescent="0.25">
      <c r="A71" s="10"/>
      <c r="B71" s="11"/>
      <c r="C71" s="11" t="s">
        <v>170</v>
      </c>
      <c r="D71" s="12" t="s">
        <v>171</v>
      </c>
      <c r="E71" s="12"/>
    </row>
    <row r="72" spans="1:5" x14ac:dyDescent="0.25">
      <c r="A72" s="10"/>
      <c r="B72" s="11"/>
      <c r="C72" s="11" t="s">
        <v>172</v>
      </c>
      <c r="D72" s="12" t="s">
        <v>173</v>
      </c>
      <c r="E72" s="12" t="s">
        <v>63</v>
      </c>
    </row>
    <row r="73" spans="1:5" x14ac:dyDescent="0.25">
      <c r="A73" s="10"/>
      <c r="B73" s="21"/>
      <c r="C73" s="20" t="s">
        <v>174</v>
      </c>
      <c r="D73" s="17"/>
      <c r="E73" s="17"/>
    </row>
    <row r="74" spans="1:5" x14ac:dyDescent="0.25">
      <c r="A74" s="10"/>
      <c r="B74" s="11"/>
      <c r="C74" s="11" t="s">
        <v>175</v>
      </c>
      <c r="D74" s="12" t="s">
        <v>176</v>
      </c>
      <c r="E74" s="12"/>
    </row>
    <row r="75" spans="1:5" x14ac:dyDescent="0.25">
      <c r="A75" s="10"/>
      <c r="B75" s="11"/>
      <c r="C75" s="20" t="s">
        <v>177</v>
      </c>
      <c r="D75" s="17"/>
      <c r="E75" s="17"/>
    </row>
    <row r="76" spans="1:5" x14ac:dyDescent="0.25">
      <c r="A76" s="10"/>
      <c r="B76" s="11"/>
      <c r="C76" s="11" t="s">
        <v>178</v>
      </c>
      <c r="D76" s="12" t="s">
        <v>179</v>
      </c>
      <c r="E76" s="12"/>
    </row>
    <row r="77" spans="1:5" x14ac:dyDescent="0.25">
      <c r="A77" s="10"/>
      <c r="B77" s="11"/>
      <c r="C77" s="11" t="s">
        <v>180</v>
      </c>
      <c r="D77" s="12" t="s">
        <v>181</v>
      </c>
      <c r="E77" s="12"/>
    </row>
    <row r="78" spans="1:5" x14ac:dyDescent="0.25">
      <c r="A78" s="10"/>
      <c r="B78" s="11"/>
      <c r="C78" s="20" t="s">
        <v>182</v>
      </c>
      <c r="D78" s="17"/>
      <c r="E78" s="17"/>
    </row>
    <row r="79" spans="1:5" x14ac:dyDescent="0.25">
      <c r="A79" s="10"/>
      <c r="B79" s="11"/>
      <c r="C79" s="11" t="s">
        <v>183</v>
      </c>
      <c r="D79" s="14" t="s">
        <v>184</v>
      </c>
      <c r="E79" s="14" t="s">
        <v>63</v>
      </c>
    </row>
    <row r="80" spans="1:5" x14ac:dyDescent="0.25">
      <c r="A80" s="22"/>
      <c r="B80" s="16" t="s">
        <v>185</v>
      </c>
      <c r="C80" s="16" t="s">
        <v>186</v>
      </c>
      <c r="D80" s="17"/>
      <c r="E80" s="17"/>
    </row>
    <row r="81" spans="1:5" x14ac:dyDescent="0.25">
      <c r="A81" s="10"/>
      <c r="B81" s="10"/>
      <c r="C81" s="10" t="s">
        <v>187</v>
      </c>
      <c r="D81" s="14" t="s">
        <v>188</v>
      </c>
      <c r="E81" s="14" t="s">
        <v>63</v>
      </c>
    </row>
    <row r="82" spans="1:5" x14ac:dyDescent="0.25">
      <c r="A82" s="10"/>
      <c r="B82" s="10"/>
      <c r="C82" s="16" t="s">
        <v>189</v>
      </c>
      <c r="D82" s="17"/>
      <c r="E82" s="17"/>
    </row>
    <row r="83" spans="1:5" x14ac:dyDescent="0.25">
      <c r="A83" s="10"/>
      <c r="B83" s="10"/>
      <c r="C83" s="10" t="s">
        <v>190</v>
      </c>
      <c r="D83" s="14" t="s">
        <v>191</v>
      </c>
      <c r="E83" s="14" t="s">
        <v>89</v>
      </c>
    </row>
    <row r="84" spans="1:5" x14ac:dyDescent="0.25">
      <c r="A84" s="10"/>
      <c r="B84" s="10"/>
      <c r="C84" s="10" t="s">
        <v>192</v>
      </c>
      <c r="D84" s="14" t="s">
        <v>193</v>
      </c>
      <c r="E84" s="14" t="s">
        <v>194</v>
      </c>
    </row>
    <row r="85" spans="1:5" x14ac:dyDescent="0.25">
      <c r="A85" s="10"/>
      <c r="B85" s="10"/>
      <c r="C85" s="10" t="s">
        <v>195</v>
      </c>
      <c r="D85" s="14" t="s">
        <v>196</v>
      </c>
      <c r="E85" s="14" t="s">
        <v>89</v>
      </c>
    </row>
    <row r="86" spans="1:5" x14ac:dyDescent="0.25">
      <c r="A86" s="10"/>
      <c r="B86" s="10"/>
      <c r="C86" s="10" t="s">
        <v>197</v>
      </c>
      <c r="D86" s="14" t="s">
        <v>198</v>
      </c>
      <c r="E86" s="14"/>
    </row>
    <row r="87" spans="1:5" x14ac:dyDescent="0.25">
      <c r="A87" s="10"/>
      <c r="B87" s="10"/>
      <c r="C87" s="10" t="s">
        <v>199</v>
      </c>
      <c r="D87" s="14" t="s">
        <v>200</v>
      </c>
      <c r="E87" s="14"/>
    </row>
    <row r="88" spans="1:5" x14ac:dyDescent="0.25">
      <c r="A88" s="10"/>
      <c r="B88" s="10"/>
      <c r="C88" s="10" t="s">
        <v>201</v>
      </c>
      <c r="D88" s="14" t="s">
        <v>202</v>
      </c>
      <c r="E88" s="14" t="s">
        <v>63</v>
      </c>
    </row>
    <row r="89" spans="1:5" x14ac:dyDescent="0.25">
      <c r="A89" s="10"/>
      <c r="B89" s="10"/>
      <c r="C89" s="10" t="s">
        <v>203</v>
      </c>
      <c r="D89" s="14" t="s">
        <v>204</v>
      </c>
      <c r="E89" s="14"/>
    </row>
    <row r="90" spans="1:5" x14ac:dyDescent="0.25">
      <c r="A90" s="10"/>
      <c r="B90" s="16" t="s">
        <v>205</v>
      </c>
      <c r="C90" s="16" t="s">
        <v>206</v>
      </c>
      <c r="D90" s="17"/>
      <c r="E90" s="17"/>
    </row>
    <row r="91" spans="1:5" x14ac:dyDescent="0.25">
      <c r="A91" s="10"/>
      <c r="B91" s="10"/>
      <c r="C91" s="10" t="s">
        <v>207</v>
      </c>
      <c r="D91" s="14" t="s">
        <v>208</v>
      </c>
      <c r="E91" s="14"/>
    </row>
    <row r="92" spans="1:5" x14ac:dyDescent="0.25">
      <c r="A92" s="10"/>
      <c r="B92" s="10"/>
      <c r="C92" s="10" t="s">
        <v>209</v>
      </c>
      <c r="D92" s="14" t="s">
        <v>210</v>
      </c>
      <c r="E92" s="14" t="s">
        <v>63</v>
      </c>
    </row>
    <row r="93" spans="1:5" x14ac:dyDescent="0.25">
      <c r="A93" s="10"/>
      <c r="B93" s="10"/>
      <c r="C93" s="16" t="s">
        <v>211</v>
      </c>
      <c r="D93" s="17"/>
      <c r="E93" s="17"/>
    </row>
    <row r="94" spans="1:5" x14ac:dyDescent="0.25">
      <c r="A94" s="10"/>
      <c r="B94" s="10"/>
      <c r="C94" s="10" t="s">
        <v>212</v>
      </c>
      <c r="D94" s="14" t="s">
        <v>213</v>
      </c>
      <c r="E94" s="14"/>
    </row>
    <row r="95" spans="1:5" x14ac:dyDescent="0.25">
      <c r="A95" s="10"/>
      <c r="B95" s="10"/>
      <c r="C95" s="10" t="s">
        <v>214</v>
      </c>
      <c r="D95" s="14" t="s">
        <v>215</v>
      </c>
      <c r="E95" s="14"/>
    </row>
    <row r="96" spans="1:5" x14ac:dyDescent="0.25">
      <c r="A96" s="10"/>
      <c r="B96" s="10"/>
      <c r="C96" s="10" t="s">
        <v>216</v>
      </c>
      <c r="D96" s="14" t="s">
        <v>217</v>
      </c>
      <c r="E96" s="14" t="s">
        <v>63</v>
      </c>
    </row>
    <row r="97" spans="1:5" x14ac:dyDescent="0.25">
      <c r="A97" s="10"/>
      <c r="B97" s="10"/>
      <c r="C97" s="10" t="s">
        <v>218</v>
      </c>
      <c r="D97" s="14" t="s">
        <v>219</v>
      </c>
      <c r="E97" s="14"/>
    </row>
    <row r="98" spans="1:5" x14ac:dyDescent="0.25">
      <c r="A98" s="10"/>
      <c r="B98" s="10"/>
      <c r="C98" s="10" t="s">
        <v>220</v>
      </c>
      <c r="D98" s="14" t="s">
        <v>221</v>
      </c>
      <c r="E98" s="14"/>
    </row>
    <row r="99" spans="1:5" x14ac:dyDescent="0.25">
      <c r="A99" s="10"/>
      <c r="B99" s="10"/>
      <c r="C99" s="11" t="s">
        <v>222</v>
      </c>
      <c r="D99" s="12" t="s">
        <v>223</v>
      </c>
      <c r="E99" s="12" t="s">
        <v>63</v>
      </c>
    </row>
    <row r="100" spans="1:5" x14ac:dyDescent="0.25">
      <c r="A100" s="10"/>
      <c r="B100" s="10"/>
      <c r="C100" s="10" t="s">
        <v>224</v>
      </c>
      <c r="D100" s="14" t="s">
        <v>225</v>
      </c>
      <c r="E100" s="14"/>
    </row>
    <row r="101" spans="1:5" x14ac:dyDescent="0.25">
      <c r="A101" s="10"/>
      <c r="B101" s="10"/>
      <c r="C101" s="10" t="s">
        <v>226</v>
      </c>
      <c r="D101" s="14" t="s">
        <v>227</v>
      </c>
      <c r="E101" s="15" t="s">
        <v>228</v>
      </c>
    </row>
    <row r="102" spans="1:5" x14ac:dyDescent="0.25">
      <c r="A102" s="10"/>
      <c r="B102" s="10"/>
      <c r="C102" s="16" t="s">
        <v>229</v>
      </c>
      <c r="D102" s="17"/>
      <c r="E102" s="17"/>
    </row>
    <row r="103" spans="1:5" x14ac:dyDescent="0.25">
      <c r="A103" s="10"/>
      <c r="B103" s="10"/>
      <c r="C103" s="10" t="s">
        <v>230</v>
      </c>
      <c r="D103" s="14" t="s">
        <v>231</v>
      </c>
      <c r="E103" s="14"/>
    </row>
    <row r="104" spans="1:5" x14ac:dyDescent="0.25">
      <c r="A104" s="10"/>
      <c r="B104" s="10"/>
      <c r="C104" s="10" t="s">
        <v>232</v>
      </c>
      <c r="D104" s="14" t="s">
        <v>233</v>
      </c>
      <c r="E104" s="15" t="s">
        <v>234</v>
      </c>
    </row>
    <row r="105" spans="1:5" x14ac:dyDescent="0.25">
      <c r="A105" s="10"/>
      <c r="B105" s="10"/>
      <c r="C105" s="16" t="s">
        <v>235</v>
      </c>
      <c r="D105" s="17"/>
      <c r="E105" s="17"/>
    </row>
    <row r="106" spans="1:5" x14ac:dyDescent="0.25">
      <c r="A106" s="10"/>
      <c r="B106" s="10"/>
      <c r="C106" s="10" t="s">
        <v>236</v>
      </c>
      <c r="D106" s="14" t="s">
        <v>237</v>
      </c>
      <c r="E106" s="14" t="s">
        <v>194</v>
      </c>
    </row>
    <row r="107" spans="1:5" x14ac:dyDescent="0.25">
      <c r="A107" s="10"/>
      <c r="B107" s="20" t="s">
        <v>238</v>
      </c>
      <c r="C107" s="20" t="s">
        <v>239</v>
      </c>
      <c r="D107" s="23"/>
      <c r="E107" s="23"/>
    </row>
    <row r="108" spans="1:5" s="27" customFormat="1" x14ac:dyDescent="0.25">
      <c r="A108" s="24"/>
      <c r="B108" s="21"/>
      <c r="C108" s="25" t="s">
        <v>240</v>
      </c>
      <c r="D108" s="26" t="s">
        <v>240</v>
      </c>
      <c r="E108" s="12" t="s">
        <v>194</v>
      </c>
    </row>
    <row r="109" spans="1:5" x14ac:dyDescent="0.25">
      <c r="A109" s="10"/>
      <c r="B109" s="11"/>
      <c r="C109" s="11" t="s">
        <v>241</v>
      </c>
      <c r="D109" s="12" t="s">
        <v>242</v>
      </c>
      <c r="E109" s="12" t="s">
        <v>194</v>
      </c>
    </row>
    <row r="110" spans="1:5" x14ac:dyDescent="0.25">
      <c r="A110" s="10"/>
      <c r="B110" s="11"/>
      <c r="C110" s="20" t="s">
        <v>243</v>
      </c>
      <c r="D110" s="23"/>
      <c r="E110" s="23"/>
    </row>
    <row r="111" spans="1:5" x14ac:dyDescent="0.25">
      <c r="A111" s="10"/>
      <c r="B111" s="11"/>
      <c r="C111" s="11" t="s">
        <v>244</v>
      </c>
      <c r="D111" s="12" t="s">
        <v>245</v>
      </c>
      <c r="E111" s="12" t="s">
        <v>92</v>
      </c>
    </row>
    <row r="112" spans="1:5" x14ac:dyDescent="0.25">
      <c r="A112" s="10"/>
      <c r="B112" s="11"/>
      <c r="C112" s="11" t="s">
        <v>246</v>
      </c>
      <c r="D112" s="12" t="s">
        <v>247</v>
      </c>
      <c r="E112" s="12" t="s">
        <v>92</v>
      </c>
    </row>
    <row r="113" spans="1:5" x14ac:dyDescent="0.25">
      <c r="A113" s="10"/>
      <c r="B113" s="11"/>
      <c r="C113" s="11" t="s">
        <v>248</v>
      </c>
      <c r="D113" s="12" t="s">
        <v>249</v>
      </c>
      <c r="E113" s="12" t="s">
        <v>63</v>
      </c>
    </row>
    <row r="114" spans="1:5" x14ac:dyDescent="0.25">
      <c r="A114" s="10"/>
      <c r="B114" s="11"/>
      <c r="C114" s="11" t="s">
        <v>250</v>
      </c>
      <c r="D114" s="12" t="s">
        <v>251</v>
      </c>
      <c r="E114" s="12"/>
    </row>
    <row r="115" spans="1:5" x14ac:dyDescent="0.25">
      <c r="A115" s="10"/>
      <c r="B115" s="11"/>
      <c r="C115" s="11" t="s">
        <v>252</v>
      </c>
      <c r="D115" s="12" t="s">
        <v>253</v>
      </c>
      <c r="E115" s="12" t="s">
        <v>92</v>
      </c>
    </row>
    <row r="116" spans="1:5" x14ac:dyDescent="0.25">
      <c r="A116" s="10"/>
      <c r="B116" s="11"/>
      <c r="C116" s="11" t="s">
        <v>254</v>
      </c>
      <c r="D116" s="12" t="s">
        <v>255</v>
      </c>
      <c r="E116" s="12" t="s">
        <v>63</v>
      </c>
    </row>
    <row r="117" spans="1:5" x14ac:dyDescent="0.25">
      <c r="A117" s="10"/>
      <c r="B117" s="11"/>
      <c r="C117" s="20" t="s">
        <v>256</v>
      </c>
      <c r="D117" s="23"/>
      <c r="E117" s="23"/>
    </row>
    <row r="118" spans="1:5" x14ac:dyDescent="0.25">
      <c r="A118" s="10"/>
      <c r="B118" s="11"/>
      <c r="C118" s="11" t="s">
        <v>257</v>
      </c>
      <c r="D118" s="12" t="s">
        <v>258</v>
      </c>
      <c r="E118" s="12" t="s">
        <v>63</v>
      </c>
    </row>
    <row r="119" spans="1:5" x14ac:dyDescent="0.25">
      <c r="A119" s="10"/>
      <c r="B119" s="11"/>
      <c r="C119" s="11" t="s">
        <v>259</v>
      </c>
      <c r="D119" s="12" t="s">
        <v>260</v>
      </c>
      <c r="E119" s="12"/>
    </row>
    <row r="120" spans="1:5" x14ac:dyDescent="0.25">
      <c r="A120" s="10"/>
      <c r="B120" s="11"/>
      <c r="C120" s="20" t="s">
        <v>261</v>
      </c>
      <c r="D120" s="23"/>
      <c r="E120" s="23"/>
    </row>
    <row r="121" spans="1:5" x14ac:dyDescent="0.25">
      <c r="A121" s="10"/>
      <c r="B121" s="11"/>
      <c r="C121" s="11" t="s">
        <v>262</v>
      </c>
      <c r="D121" s="12" t="s">
        <v>263</v>
      </c>
      <c r="E121" s="12" t="s">
        <v>63</v>
      </c>
    </row>
    <row r="122" spans="1:5" x14ac:dyDescent="0.25">
      <c r="A122" s="10"/>
      <c r="B122" s="11"/>
      <c r="C122" s="11" t="s">
        <v>264</v>
      </c>
      <c r="D122" s="12" t="s">
        <v>265</v>
      </c>
      <c r="E122" s="12" t="s">
        <v>63</v>
      </c>
    </row>
    <row r="123" spans="1:5" x14ac:dyDescent="0.25">
      <c r="A123" s="10"/>
      <c r="B123" s="11"/>
      <c r="C123" s="20" t="s">
        <v>266</v>
      </c>
      <c r="D123" s="23"/>
      <c r="E123" s="23"/>
    </row>
    <row r="124" spans="1:5" x14ac:dyDescent="0.25">
      <c r="A124" s="10"/>
      <c r="B124" s="10"/>
      <c r="C124" s="11" t="s">
        <v>267</v>
      </c>
      <c r="D124" s="12" t="s">
        <v>268</v>
      </c>
      <c r="E124" s="12"/>
    </row>
    <row r="125" spans="1:5" x14ac:dyDescent="0.25">
      <c r="A125" s="10"/>
      <c r="B125" s="10"/>
      <c r="C125" s="11" t="s">
        <v>269</v>
      </c>
      <c r="D125" s="12" t="s">
        <v>270</v>
      </c>
      <c r="E125" s="12" t="s">
        <v>63</v>
      </c>
    </row>
    <row r="126" spans="1:5" x14ac:dyDescent="0.25">
      <c r="A126" s="10"/>
      <c r="B126" s="10"/>
      <c r="C126" s="11" t="s">
        <v>271</v>
      </c>
      <c r="D126" s="12" t="s">
        <v>272</v>
      </c>
      <c r="E126" s="12"/>
    </row>
    <row r="127" spans="1:5" x14ac:dyDescent="0.25">
      <c r="A127" s="10"/>
      <c r="B127" s="10"/>
      <c r="C127" s="11" t="s">
        <v>273</v>
      </c>
      <c r="D127" s="12" t="s">
        <v>274</v>
      </c>
      <c r="E127" s="12" t="s">
        <v>92</v>
      </c>
    </row>
    <row r="128" spans="1:5" x14ac:dyDescent="0.25">
      <c r="A128" s="10"/>
      <c r="B128" s="10"/>
      <c r="C128" s="11" t="s">
        <v>275</v>
      </c>
      <c r="D128" s="12" t="s">
        <v>276</v>
      </c>
      <c r="E128" s="12"/>
    </row>
    <row r="129" spans="1:5" x14ac:dyDescent="0.25">
      <c r="A129" s="10"/>
      <c r="B129" s="10"/>
      <c r="C129" s="11" t="s">
        <v>277</v>
      </c>
      <c r="D129" s="12" t="s">
        <v>278</v>
      </c>
      <c r="E129" s="12"/>
    </row>
    <row r="130" spans="1:5" x14ac:dyDescent="0.25">
      <c r="A130" s="10"/>
      <c r="B130" s="10"/>
      <c r="C130" s="11" t="s">
        <v>279</v>
      </c>
      <c r="D130" s="12" t="s">
        <v>280</v>
      </c>
      <c r="E130" s="12"/>
    </row>
    <row r="131" spans="1:5" x14ac:dyDescent="0.25">
      <c r="A131" s="10"/>
      <c r="B131" s="10"/>
      <c r="C131" s="11" t="s">
        <v>281</v>
      </c>
      <c r="D131" s="12" t="s">
        <v>282</v>
      </c>
      <c r="E131" s="12" t="s">
        <v>63</v>
      </c>
    </row>
    <row r="132" spans="1:5" x14ac:dyDescent="0.25">
      <c r="A132" s="10"/>
      <c r="B132" s="10"/>
      <c r="C132" s="11" t="s">
        <v>283</v>
      </c>
      <c r="D132" s="12" t="s">
        <v>284</v>
      </c>
      <c r="E132" s="12"/>
    </row>
    <row r="133" spans="1:5" x14ac:dyDescent="0.25">
      <c r="A133" s="10"/>
      <c r="B133" s="10"/>
      <c r="C133" s="11" t="s">
        <v>285</v>
      </c>
      <c r="D133" s="12" t="s">
        <v>286</v>
      </c>
      <c r="E133" s="12"/>
    </row>
    <row r="134" spans="1:5" x14ac:dyDescent="0.25">
      <c r="A134" s="10"/>
      <c r="B134" s="10"/>
      <c r="C134" s="11" t="s">
        <v>287</v>
      </c>
      <c r="D134" s="12" t="s">
        <v>288</v>
      </c>
      <c r="E134" s="12"/>
    </row>
    <row r="135" spans="1:5" x14ac:dyDescent="0.25">
      <c r="A135" s="10"/>
      <c r="B135" s="10"/>
      <c r="C135" s="11" t="s">
        <v>289</v>
      </c>
      <c r="D135" s="12" t="s">
        <v>290</v>
      </c>
      <c r="E135" s="12"/>
    </row>
    <row r="136" spans="1:5" x14ac:dyDescent="0.25">
      <c r="A136" s="10"/>
      <c r="B136" s="10"/>
      <c r="C136" s="11" t="s">
        <v>291</v>
      </c>
      <c r="D136" s="12" t="s">
        <v>292</v>
      </c>
      <c r="E136" s="12"/>
    </row>
    <row r="137" spans="1:5" x14ac:dyDescent="0.25">
      <c r="A137" s="10"/>
      <c r="B137" s="10"/>
      <c r="C137" s="11" t="s">
        <v>293</v>
      </c>
      <c r="D137" s="12" t="s">
        <v>294</v>
      </c>
      <c r="E137" s="12" t="s">
        <v>63</v>
      </c>
    </row>
    <row r="138" spans="1:5" x14ac:dyDescent="0.25">
      <c r="A138" s="10"/>
      <c r="B138" s="10"/>
      <c r="C138" s="11" t="s">
        <v>295</v>
      </c>
      <c r="D138" s="12" t="s">
        <v>296</v>
      </c>
      <c r="E138" s="12"/>
    </row>
    <row r="139" spans="1:5" x14ac:dyDescent="0.25">
      <c r="A139" s="10"/>
      <c r="B139" s="10"/>
      <c r="C139" s="20" t="s">
        <v>297</v>
      </c>
      <c r="D139" s="23"/>
      <c r="E139" s="23"/>
    </row>
    <row r="140" spans="1:5" x14ac:dyDescent="0.25">
      <c r="A140" s="10"/>
      <c r="B140" s="10"/>
      <c r="C140" s="10" t="s">
        <v>298</v>
      </c>
      <c r="D140" s="14" t="s">
        <v>299</v>
      </c>
      <c r="E140" s="14" t="s">
        <v>92</v>
      </c>
    </row>
    <row r="141" spans="1:5" x14ac:dyDescent="0.25">
      <c r="A141" s="10"/>
      <c r="B141" s="10"/>
      <c r="C141" s="10" t="s">
        <v>300</v>
      </c>
      <c r="D141" s="14" t="s">
        <v>301</v>
      </c>
      <c r="E141" s="14"/>
    </row>
    <row r="142" spans="1:5" x14ac:dyDescent="0.25">
      <c r="A142" s="10"/>
      <c r="B142" s="10"/>
      <c r="C142" s="11" t="s">
        <v>302</v>
      </c>
      <c r="D142" s="12" t="s">
        <v>303</v>
      </c>
      <c r="E142" s="12" t="s">
        <v>92</v>
      </c>
    </row>
    <row r="143" spans="1:5" x14ac:dyDescent="0.25">
      <c r="A143" s="10"/>
      <c r="B143" s="10"/>
      <c r="C143" s="11" t="s">
        <v>304</v>
      </c>
      <c r="D143" s="12" t="s">
        <v>305</v>
      </c>
      <c r="E143" s="12"/>
    </row>
    <row r="144" spans="1:5" s="4" customFormat="1" x14ac:dyDescent="0.25">
      <c r="A144" s="10"/>
      <c r="B144" s="10"/>
      <c r="C144" s="10" t="s">
        <v>306</v>
      </c>
      <c r="D144" s="14" t="s">
        <v>307</v>
      </c>
      <c r="E144" s="14" t="s">
        <v>194</v>
      </c>
    </row>
    <row r="145" spans="1:5" s="4" customFormat="1" x14ac:dyDescent="0.25">
      <c r="A145" s="10"/>
      <c r="B145" s="10"/>
      <c r="C145" s="10" t="s">
        <v>308</v>
      </c>
      <c r="D145" s="14" t="s">
        <v>309</v>
      </c>
      <c r="E145" s="15" t="s">
        <v>310</v>
      </c>
    </row>
    <row r="146" spans="1:5" x14ac:dyDescent="0.25">
      <c r="A146" s="10"/>
      <c r="B146" s="20" t="s">
        <v>182</v>
      </c>
      <c r="C146" s="16" t="s">
        <v>182</v>
      </c>
      <c r="D146" s="17"/>
      <c r="E146" s="17"/>
    </row>
    <row r="147" spans="1:5" x14ac:dyDescent="0.25">
      <c r="A147" s="10"/>
      <c r="B147" s="10"/>
      <c r="C147" s="10" t="s">
        <v>311</v>
      </c>
      <c r="D147" s="14" t="s">
        <v>312</v>
      </c>
      <c r="E147" s="14" t="s">
        <v>63</v>
      </c>
    </row>
    <row r="148" spans="1:5" x14ac:dyDescent="0.25">
      <c r="A148" s="10"/>
      <c r="B148" s="21"/>
      <c r="C148" s="24" t="s">
        <v>313</v>
      </c>
      <c r="D148" s="28" t="s">
        <v>314</v>
      </c>
      <c r="E148" s="15" t="s">
        <v>234</v>
      </c>
    </row>
    <row r="149" spans="1:5" x14ac:dyDescent="0.25">
      <c r="A149" s="10"/>
      <c r="B149" s="10"/>
      <c r="C149" s="10" t="s">
        <v>315</v>
      </c>
      <c r="D149" s="14" t="s">
        <v>316</v>
      </c>
      <c r="E149" s="14" t="s">
        <v>63</v>
      </c>
    </row>
    <row r="150" spans="1:5" x14ac:dyDescent="0.25">
      <c r="A150" s="10"/>
      <c r="B150" s="10"/>
      <c r="C150" s="10" t="s">
        <v>317</v>
      </c>
      <c r="D150" s="14" t="s">
        <v>318</v>
      </c>
      <c r="E150" s="14"/>
    </row>
    <row r="151" spans="1:5" x14ac:dyDescent="0.25">
      <c r="A151" s="10"/>
      <c r="B151" s="10"/>
      <c r="C151" s="10" t="s">
        <v>319</v>
      </c>
      <c r="D151" s="14" t="s">
        <v>320</v>
      </c>
      <c r="E151" s="14" t="s">
        <v>63</v>
      </c>
    </row>
    <row r="152" spans="1:5" x14ac:dyDescent="0.25">
      <c r="A152" s="10"/>
      <c r="B152" s="10"/>
      <c r="C152" s="10" t="s">
        <v>321</v>
      </c>
      <c r="D152" s="14" t="s">
        <v>322</v>
      </c>
      <c r="E152" s="15" t="s">
        <v>234</v>
      </c>
    </row>
    <row r="153" spans="1:5" x14ac:dyDescent="0.25">
      <c r="A153" s="10"/>
      <c r="B153" s="10"/>
      <c r="C153" s="10" t="s">
        <v>323</v>
      </c>
      <c r="D153" s="14" t="s">
        <v>324</v>
      </c>
      <c r="E153" s="15" t="s">
        <v>234</v>
      </c>
    </row>
    <row r="154" spans="1:5" x14ac:dyDescent="0.25">
      <c r="A154" s="10"/>
      <c r="B154" s="10"/>
      <c r="C154" s="10" t="s">
        <v>325</v>
      </c>
      <c r="D154" s="14" t="s">
        <v>326</v>
      </c>
      <c r="E154" s="14" t="s">
        <v>63</v>
      </c>
    </row>
    <row r="155" spans="1:5" x14ac:dyDescent="0.25">
      <c r="A155" s="10"/>
      <c r="B155" s="16" t="s">
        <v>327</v>
      </c>
      <c r="C155" s="16" t="s">
        <v>185</v>
      </c>
      <c r="D155" s="17"/>
      <c r="E155" s="17"/>
    </row>
    <row r="156" spans="1:5" ht="12.75" customHeight="1" x14ac:dyDescent="0.25">
      <c r="A156" s="10"/>
      <c r="B156" s="10"/>
      <c r="C156" s="10" t="s">
        <v>328</v>
      </c>
      <c r="D156" s="14" t="s">
        <v>329</v>
      </c>
      <c r="E156" s="14"/>
    </row>
    <row r="157" spans="1:5" x14ac:dyDescent="0.25">
      <c r="A157" s="10"/>
      <c r="B157" s="10"/>
      <c r="C157" s="10" t="s">
        <v>330</v>
      </c>
      <c r="D157" s="14" t="s">
        <v>331</v>
      </c>
      <c r="E157" s="14"/>
    </row>
    <row r="158" spans="1:5" x14ac:dyDescent="0.25">
      <c r="A158" s="18"/>
      <c r="B158" s="18"/>
      <c r="C158" s="18" t="s">
        <v>332</v>
      </c>
      <c r="D158" s="19" t="s">
        <v>333</v>
      </c>
      <c r="E158" s="19"/>
    </row>
    <row r="159" spans="1:5" x14ac:dyDescent="0.25">
      <c r="A159" s="2"/>
      <c r="B159" s="2"/>
      <c r="C159" s="2"/>
      <c r="D159" s="1"/>
      <c r="E159" s="1"/>
    </row>
    <row r="160" spans="1:5" ht="15" customHeight="1" x14ac:dyDescent="0.25">
      <c r="A160" s="79" t="s">
        <v>54</v>
      </c>
      <c r="B160" s="79" t="s">
        <v>55</v>
      </c>
      <c r="C160" s="79" t="s">
        <v>56</v>
      </c>
      <c r="D160" s="81" t="s">
        <v>57</v>
      </c>
      <c r="E160" s="82"/>
    </row>
    <row r="161" spans="1:5" x14ac:dyDescent="0.25">
      <c r="A161" s="80"/>
      <c r="B161" s="80"/>
      <c r="C161" s="80"/>
      <c r="D161" s="5" t="s">
        <v>58</v>
      </c>
      <c r="E161" s="6" t="s">
        <v>56</v>
      </c>
    </row>
    <row r="162" spans="1:5" x14ac:dyDescent="0.25">
      <c r="A162" s="16" t="s">
        <v>334</v>
      </c>
      <c r="B162" s="16" t="s">
        <v>335</v>
      </c>
      <c r="C162" s="16" t="s">
        <v>336</v>
      </c>
      <c r="D162" s="17"/>
      <c r="E162" s="17"/>
    </row>
    <row r="163" spans="1:5" x14ac:dyDescent="0.25">
      <c r="A163" s="10"/>
      <c r="B163" s="10"/>
      <c r="C163" s="11" t="s">
        <v>337</v>
      </c>
      <c r="D163" s="12" t="s">
        <v>338</v>
      </c>
      <c r="E163" s="12"/>
    </row>
    <row r="164" spans="1:5" ht="12.75" customHeight="1" x14ac:dyDescent="0.25">
      <c r="A164" s="10"/>
      <c r="B164" s="10"/>
      <c r="C164" s="11" t="s">
        <v>339</v>
      </c>
      <c r="D164" s="12" t="s">
        <v>340</v>
      </c>
      <c r="E164" s="12" t="s">
        <v>63</v>
      </c>
    </row>
    <row r="165" spans="1:5" x14ac:dyDescent="0.25">
      <c r="A165" s="10"/>
      <c r="B165" s="10"/>
      <c r="C165" s="10" t="s">
        <v>341</v>
      </c>
      <c r="D165" s="14" t="s">
        <v>342</v>
      </c>
      <c r="E165" s="14" t="s">
        <v>63</v>
      </c>
    </row>
    <row r="166" spans="1:5" x14ac:dyDescent="0.25">
      <c r="A166" s="10"/>
      <c r="B166" s="10"/>
      <c r="C166" s="10" t="s">
        <v>343</v>
      </c>
      <c r="D166" s="14" t="s">
        <v>344</v>
      </c>
      <c r="E166" s="14" t="s">
        <v>63</v>
      </c>
    </row>
    <row r="167" spans="1:5" x14ac:dyDescent="0.25">
      <c r="A167" s="10"/>
      <c r="B167" s="10"/>
      <c r="C167" s="10" t="s">
        <v>345</v>
      </c>
      <c r="D167" s="14" t="s">
        <v>346</v>
      </c>
      <c r="E167" s="14" t="s">
        <v>63</v>
      </c>
    </row>
    <row r="168" spans="1:5" x14ac:dyDescent="0.25">
      <c r="A168" s="10"/>
      <c r="B168" s="16" t="s">
        <v>347</v>
      </c>
      <c r="C168" s="16" t="s">
        <v>348</v>
      </c>
      <c r="D168" s="17"/>
      <c r="E168" s="17"/>
    </row>
    <row r="169" spans="1:5" x14ac:dyDescent="0.25">
      <c r="A169" s="10"/>
      <c r="B169" s="10"/>
      <c r="C169" s="10" t="s">
        <v>349</v>
      </c>
      <c r="D169" s="14" t="s">
        <v>350</v>
      </c>
      <c r="E169" s="14" t="s">
        <v>63</v>
      </c>
    </row>
    <row r="170" spans="1:5" x14ac:dyDescent="0.25">
      <c r="A170" s="10"/>
      <c r="B170" s="10"/>
      <c r="C170" s="10" t="s">
        <v>351</v>
      </c>
      <c r="D170" s="14" t="s">
        <v>352</v>
      </c>
      <c r="E170" s="14"/>
    </row>
    <row r="171" spans="1:5" x14ac:dyDescent="0.25">
      <c r="A171" s="10"/>
      <c r="B171" s="10"/>
      <c r="C171" s="10" t="s">
        <v>353</v>
      </c>
      <c r="D171" s="14" t="s">
        <v>354</v>
      </c>
      <c r="E171" s="14" t="s">
        <v>63</v>
      </c>
    </row>
    <row r="172" spans="1:5" x14ac:dyDescent="0.25">
      <c r="A172" s="10"/>
      <c r="B172" s="10"/>
      <c r="C172" s="16" t="s">
        <v>355</v>
      </c>
      <c r="D172" s="17"/>
      <c r="E172" s="17"/>
    </row>
    <row r="173" spans="1:5" x14ac:dyDescent="0.25">
      <c r="A173" s="10"/>
      <c r="B173" s="10"/>
      <c r="C173" s="10" t="s">
        <v>356</v>
      </c>
      <c r="D173" s="14" t="s">
        <v>357</v>
      </c>
      <c r="E173" s="14" t="s">
        <v>63</v>
      </c>
    </row>
    <row r="174" spans="1:5" x14ac:dyDescent="0.25">
      <c r="A174" s="10"/>
      <c r="B174" s="10"/>
      <c r="C174" s="10" t="s">
        <v>358</v>
      </c>
      <c r="D174" s="14" t="s">
        <v>359</v>
      </c>
      <c r="E174" s="14"/>
    </row>
    <row r="175" spans="1:5" x14ac:dyDescent="0.25">
      <c r="A175" s="10"/>
      <c r="B175" s="10"/>
      <c r="C175" s="10" t="s">
        <v>360</v>
      </c>
      <c r="D175" s="14" t="s">
        <v>361</v>
      </c>
      <c r="E175" s="14" t="s">
        <v>63</v>
      </c>
    </row>
    <row r="176" spans="1:5" x14ac:dyDescent="0.25">
      <c r="A176" s="10"/>
      <c r="B176" s="10"/>
      <c r="C176" s="10" t="s">
        <v>362</v>
      </c>
      <c r="D176" s="14" t="s">
        <v>363</v>
      </c>
      <c r="E176" s="14" t="s">
        <v>63</v>
      </c>
    </row>
    <row r="177" spans="1:5" x14ac:dyDescent="0.25">
      <c r="A177" s="10"/>
      <c r="B177" s="10"/>
      <c r="C177" s="10" t="s">
        <v>364</v>
      </c>
      <c r="D177" s="14" t="s">
        <v>365</v>
      </c>
      <c r="E177" s="14" t="s">
        <v>63</v>
      </c>
    </row>
    <row r="178" spans="1:5" x14ac:dyDescent="0.25">
      <c r="A178" s="10"/>
      <c r="B178" s="10"/>
      <c r="C178" s="10" t="s">
        <v>366</v>
      </c>
      <c r="D178" s="14" t="s">
        <v>367</v>
      </c>
      <c r="E178" s="14"/>
    </row>
    <row r="179" spans="1:5" x14ac:dyDescent="0.25">
      <c r="A179" s="10"/>
      <c r="B179" s="10"/>
      <c r="C179" s="16" t="s">
        <v>368</v>
      </c>
      <c r="D179" s="17"/>
      <c r="E179" s="17"/>
    </row>
    <row r="180" spans="1:5" x14ac:dyDescent="0.25">
      <c r="A180" s="10"/>
      <c r="B180" s="10"/>
      <c r="C180" s="24" t="s">
        <v>369</v>
      </c>
      <c r="D180" s="28" t="s">
        <v>370</v>
      </c>
      <c r="E180" s="28" t="s">
        <v>63</v>
      </c>
    </row>
    <row r="181" spans="1:5" x14ac:dyDescent="0.25">
      <c r="A181" s="10"/>
      <c r="B181" s="10"/>
      <c r="C181" s="10" t="s">
        <v>371</v>
      </c>
      <c r="D181" s="14" t="s">
        <v>372</v>
      </c>
      <c r="E181" s="14"/>
    </row>
    <row r="182" spans="1:5" x14ac:dyDescent="0.25">
      <c r="A182" s="10"/>
      <c r="B182" s="10"/>
      <c r="C182" s="10" t="s">
        <v>373</v>
      </c>
      <c r="D182" s="14" t="s">
        <v>374</v>
      </c>
      <c r="E182" s="14"/>
    </row>
    <row r="183" spans="1:5" x14ac:dyDescent="0.25">
      <c r="A183" s="10"/>
      <c r="B183" s="10"/>
      <c r="C183" s="10" t="s">
        <v>375</v>
      </c>
      <c r="D183" s="14" t="s">
        <v>376</v>
      </c>
      <c r="E183" s="14" t="s">
        <v>63</v>
      </c>
    </row>
    <row r="184" spans="1:5" x14ac:dyDescent="0.25">
      <c r="A184" s="10"/>
      <c r="B184" s="10"/>
      <c r="C184" s="10" t="s">
        <v>377</v>
      </c>
      <c r="D184" s="14" t="s">
        <v>378</v>
      </c>
      <c r="E184" s="14"/>
    </row>
    <row r="185" spans="1:5" x14ac:dyDescent="0.25">
      <c r="A185" s="10"/>
      <c r="B185" s="16" t="s">
        <v>379</v>
      </c>
      <c r="C185" s="16" t="s">
        <v>380</v>
      </c>
      <c r="D185" s="17"/>
      <c r="E185" s="17"/>
    </row>
    <row r="186" spans="1:5" x14ac:dyDescent="0.25">
      <c r="A186" s="10"/>
      <c r="B186" s="10"/>
      <c r="C186" s="10" t="s">
        <v>381</v>
      </c>
      <c r="D186" s="14" t="s">
        <v>382</v>
      </c>
      <c r="E186" s="14"/>
    </row>
    <row r="187" spans="1:5" x14ac:dyDescent="0.25">
      <c r="A187" s="10"/>
      <c r="B187" s="16" t="s">
        <v>383</v>
      </c>
      <c r="C187" s="16" t="s">
        <v>384</v>
      </c>
      <c r="D187" s="17"/>
      <c r="E187" s="17"/>
    </row>
    <row r="188" spans="1:5" x14ac:dyDescent="0.25">
      <c r="A188" s="10"/>
      <c r="B188" s="10"/>
      <c r="C188" s="10" t="s">
        <v>385</v>
      </c>
      <c r="D188" s="14" t="s">
        <v>386</v>
      </c>
      <c r="E188" s="14" t="s">
        <v>63</v>
      </c>
    </row>
    <row r="189" spans="1:5" x14ac:dyDescent="0.25">
      <c r="A189" s="10"/>
      <c r="B189" s="10"/>
      <c r="C189" s="16" t="s">
        <v>387</v>
      </c>
      <c r="D189" s="17"/>
      <c r="E189" s="17"/>
    </row>
    <row r="190" spans="1:5" x14ac:dyDescent="0.25">
      <c r="A190" s="10"/>
      <c r="B190" s="10"/>
      <c r="C190" s="10" t="s">
        <v>388</v>
      </c>
      <c r="D190" s="14" t="s">
        <v>389</v>
      </c>
      <c r="E190" s="14"/>
    </row>
    <row r="191" spans="1:5" ht="12.75" customHeight="1" x14ac:dyDescent="0.25">
      <c r="A191" s="10"/>
      <c r="B191" s="16" t="s">
        <v>390</v>
      </c>
      <c r="C191" s="16" t="s">
        <v>391</v>
      </c>
      <c r="D191" s="17"/>
      <c r="E191" s="17"/>
    </row>
    <row r="192" spans="1:5" ht="12.75" customHeight="1" x14ac:dyDescent="0.25">
      <c r="A192" s="10"/>
      <c r="B192" s="29"/>
      <c r="C192" s="29" t="s">
        <v>392</v>
      </c>
      <c r="D192" s="26" t="s">
        <v>393</v>
      </c>
      <c r="E192" s="26" t="s">
        <v>63</v>
      </c>
    </row>
    <row r="193" spans="1:5" ht="12.75" customHeight="1" x14ac:dyDescent="0.25">
      <c r="A193" s="18"/>
      <c r="B193" s="18"/>
      <c r="C193" s="18" t="s">
        <v>394</v>
      </c>
      <c r="D193" s="19" t="s">
        <v>395</v>
      </c>
      <c r="E193" s="19" t="s">
        <v>89</v>
      </c>
    </row>
    <row r="194" spans="1:5" ht="12.75" customHeight="1" x14ac:dyDescent="0.25">
      <c r="A194" s="2"/>
      <c r="B194" s="2"/>
      <c r="C194" s="2"/>
      <c r="D194" s="1"/>
      <c r="E194" s="1"/>
    </row>
    <row r="195" spans="1:5" ht="12.75" customHeight="1" x14ac:dyDescent="0.25">
      <c r="A195" s="79" t="s">
        <v>54</v>
      </c>
      <c r="B195" s="79" t="s">
        <v>55</v>
      </c>
      <c r="C195" s="79" t="s">
        <v>56</v>
      </c>
      <c r="D195" s="81" t="s">
        <v>57</v>
      </c>
      <c r="E195" s="82"/>
    </row>
    <row r="196" spans="1:5" ht="12.75" customHeight="1" x14ac:dyDescent="0.25">
      <c r="A196" s="80"/>
      <c r="B196" s="80"/>
      <c r="C196" s="80"/>
      <c r="D196" s="5" t="s">
        <v>58</v>
      </c>
      <c r="E196" s="6" t="s">
        <v>56</v>
      </c>
    </row>
    <row r="197" spans="1:5" ht="12.75" customHeight="1" x14ac:dyDescent="0.25">
      <c r="A197" s="16" t="s">
        <v>396</v>
      </c>
      <c r="B197" s="20" t="s">
        <v>397</v>
      </c>
      <c r="C197" s="20" t="s">
        <v>398</v>
      </c>
      <c r="D197" s="30"/>
      <c r="E197" s="31"/>
    </row>
    <row r="198" spans="1:5" x14ac:dyDescent="0.25">
      <c r="A198" s="10"/>
      <c r="B198" s="11"/>
      <c r="C198" s="11" t="s">
        <v>399</v>
      </c>
      <c r="D198" s="12" t="s">
        <v>400</v>
      </c>
      <c r="E198" s="12"/>
    </row>
    <row r="199" spans="1:5" x14ac:dyDescent="0.25">
      <c r="A199" s="10"/>
      <c r="B199" s="11"/>
      <c r="C199" s="11" t="s">
        <v>401</v>
      </c>
      <c r="D199" s="12" t="s">
        <v>402</v>
      </c>
      <c r="E199" s="12" t="s">
        <v>63</v>
      </c>
    </row>
    <row r="200" spans="1:5" x14ac:dyDescent="0.25">
      <c r="A200" s="10"/>
      <c r="B200" s="11"/>
      <c r="C200" s="11" t="s">
        <v>403</v>
      </c>
      <c r="D200" s="12" t="s">
        <v>404</v>
      </c>
      <c r="E200" s="12" t="s">
        <v>63</v>
      </c>
    </row>
    <row r="201" spans="1:5" x14ac:dyDescent="0.25">
      <c r="A201" s="10"/>
      <c r="B201" s="11"/>
      <c r="C201" s="11" t="s">
        <v>405</v>
      </c>
      <c r="D201" s="12" t="s">
        <v>406</v>
      </c>
      <c r="E201" s="12" t="s">
        <v>63</v>
      </c>
    </row>
    <row r="202" spans="1:5" x14ac:dyDescent="0.25">
      <c r="A202" s="10"/>
      <c r="B202" s="11"/>
      <c r="C202" s="11" t="s">
        <v>407</v>
      </c>
      <c r="D202" s="12" t="s">
        <v>408</v>
      </c>
      <c r="E202" s="12" t="s">
        <v>63</v>
      </c>
    </row>
    <row r="203" spans="1:5" x14ac:dyDescent="0.25">
      <c r="A203" s="10"/>
      <c r="B203" s="11"/>
      <c r="C203" s="11" t="s">
        <v>409</v>
      </c>
      <c r="D203" s="12" t="s">
        <v>410</v>
      </c>
      <c r="E203" s="12" t="s">
        <v>63</v>
      </c>
    </row>
    <row r="204" spans="1:5" x14ac:dyDescent="0.25">
      <c r="A204" s="10"/>
      <c r="B204" s="11"/>
      <c r="C204" s="11" t="s">
        <v>411</v>
      </c>
      <c r="D204" s="12" t="s">
        <v>412</v>
      </c>
      <c r="E204" s="12" t="s">
        <v>63</v>
      </c>
    </row>
    <row r="205" spans="1:5" x14ac:dyDescent="0.25">
      <c r="A205" s="10"/>
      <c r="B205" s="11"/>
      <c r="C205" s="11" t="s">
        <v>413</v>
      </c>
      <c r="D205" s="12" t="s">
        <v>414</v>
      </c>
      <c r="E205" s="12" t="s">
        <v>63</v>
      </c>
    </row>
    <row r="206" spans="1:5" x14ac:dyDescent="0.25">
      <c r="A206" s="10"/>
      <c r="B206" s="11"/>
      <c r="C206" s="11" t="s">
        <v>415</v>
      </c>
      <c r="D206" s="12" t="s">
        <v>416</v>
      </c>
      <c r="E206" s="32" t="s">
        <v>234</v>
      </c>
    </row>
    <row r="207" spans="1:5" x14ac:dyDescent="0.25">
      <c r="A207" s="10"/>
      <c r="B207" s="11"/>
      <c r="C207" s="11" t="s">
        <v>417</v>
      </c>
      <c r="D207" s="12" t="s">
        <v>418</v>
      </c>
      <c r="E207" s="12" t="s">
        <v>63</v>
      </c>
    </row>
    <row r="208" spans="1:5" x14ac:dyDescent="0.25">
      <c r="A208" s="10"/>
      <c r="B208" s="11"/>
      <c r="C208" s="11" t="s">
        <v>419</v>
      </c>
      <c r="D208" s="12" t="s">
        <v>420</v>
      </c>
      <c r="E208" s="12"/>
    </row>
    <row r="209" spans="1:5" x14ac:dyDescent="0.25">
      <c r="A209" s="10"/>
      <c r="B209" s="11"/>
      <c r="C209" s="11" t="s">
        <v>421</v>
      </c>
      <c r="D209" s="12" t="s">
        <v>422</v>
      </c>
      <c r="E209" s="12" t="s">
        <v>63</v>
      </c>
    </row>
    <row r="210" spans="1:5" x14ac:dyDescent="0.25">
      <c r="A210" s="10"/>
      <c r="B210" s="11"/>
      <c r="C210" s="11" t="s">
        <v>423</v>
      </c>
      <c r="D210" s="12" t="s">
        <v>424</v>
      </c>
      <c r="E210" s="12" t="s">
        <v>63</v>
      </c>
    </row>
    <row r="211" spans="1:5" x14ac:dyDescent="0.25">
      <c r="A211" s="10"/>
      <c r="B211" s="11"/>
      <c r="C211" s="11" t="s">
        <v>425</v>
      </c>
      <c r="D211" s="12" t="s">
        <v>426</v>
      </c>
      <c r="E211" s="12" t="s">
        <v>63</v>
      </c>
    </row>
    <row r="212" spans="1:5" x14ac:dyDescent="0.25">
      <c r="A212" s="10"/>
      <c r="B212" s="11"/>
      <c r="C212" s="11" t="s">
        <v>427</v>
      </c>
      <c r="D212" s="12" t="s">
        <v>428</v>
      </c>
      <c r="E212" s="12" t="s">
        <v>63</v>
      </c>
    </row>
    <row r="213" spans="1:5" x14ac:dyDescent="0.25">
      <c r="A213" s="10"/>
      <c r="B213" s="11"/>
      <c r="C213" s="11" t="s">
        <v>429</v>
      </c>
      <c r="D213" s="12" t="s">
        <v>430</v>
      </c>
      <c r="E213" s="12" t="s">
        <v>63</v>
      </c>
    </row>
    <row r="214" spans="1:5" x14ac:dyDescent="0.25">
      <c r="A214" s="10"/>
      <c r="B214" s="11"/>
      <c r="C214" s="11" t="s">
        <v>431</v>
      </c>
      <c r="D214" s="12" t="s">
        <v>432</v>
      </c>
      <c r="E214" s="12" t="s">
        <v>63</v>
      </c>
    </row>
    <row r="215" spans="1:5" x14ac:dyDescent="0.25">
      <c r="A215" s="10"/>
      <c r="B215" s="11"/>
      <c r="C215" s="11" t="s">
        <v>433</v>
      </c>
      <c r="D215" s="12" t="s">
        <v>434</v>
      </c>
      <c r="E215" s="12" t="s">
        <v>63</v>
      </c>
    </row>
    <row r="216" spans="1:5" x14ac:dyDescent="0.25">
      <c r="A216" s="10"/>
      <c r="B216" s="11"/>
      <c r="C216" s="11" t="s">
        <v>435</v>
      </c>
      <c r="D216" s="12" t="s">
        <v>436</v>
      </c>
      <c r="E216" s="12" t="s">
        <v>63</v>
      </c>
    </row>
    <row r="217" spans="1:5" x14ac:dyDescent="0.25">
      <c r="A217" s="10"/>
      <c r="B217" s="11"/>
      <c r="C217" s="11" t="s">
        <v>437</v>
      </c>
      <c r="D217" s="12" t="s">
        <v>438</v>
      </c>
      <c r="E217" s="12" t="s">
        <v>63</v>
      </c>
    </row>
    <row r="218" spans="1:5" x14ac:dyDescent="0.25">
      <c r="A218" s="10"/>
      <c r="B218" s="11"/>
      <c r="C218" s="11" t="s">
        <v>439</v>
      </c>
      <c r="D218" s="12" t="s">
        <v>440</v>
      </c>
      <c r="E218" s="12" t="s">
        <v>63</v>
      </c>
    </row>
    <row r="219" spans="1:5" ht="12.75" customHeight="1" x14ac:dyDescent="0.25">
      <c r="A219" s="22"/>
      <c r="B219" s="16" t="s">
        <v>441</v>
      </c>
      <c r="C219" s="16" t="s">
        <v>442</v>
      </c>
      <c r="D219" s="17"/>
      <c r="E219" s="17"/>
    </row>
    <row r="220" spans="1:5" ht="12.75" customHeight="1" x14ac:dyDescent="0.25">
      <c r="A220" s="10"/>
      <c r="B220" s="10"/>
      <c r="C220" s="10" t="s">
        <v>443</v>
      </c>
      <c r="D220" s="14" t="s">
        <v>444</v>
      </c>
      <c r="E220" s="14" t="s">
        <v>89</v>
      </c>
    </row>
    <row r="221" spans="1:5" ht="12.75" customHeight="1" x14ac:dyDescent="0.25">
      <c r="A221" s="10"/>
      <c r="B221" s="10"/>
      <c r="C221" s="10" t="s">
        <v>445</v>
      </c>
      <c r="D221" s="14" t="s">
        <v>446</v>
      </c>
      <c r="E221" s="14"/>
    </row>
    <row r="222" spans="1:5" ht="12.75" customHeight="1" x14ac:dyDescent="0.25">
      <c r="A222" s="10"/>
      <c r="B222" s="10"/>
      <c r="C222" s="10" t="s">
        <v>447</v>
      </c>
      <c r="D222" s="14" t="s">
        <v>448</v>
      </c>
      <c r="E222" s="14"/>
    </row>
    <row r="223" spans="1:5" ht="12.75" customHeight="1" x14ac:dyDescent="0.25">
      <c r="A223" s="10"/>
      <c r="B223" s="10"/>
      <c r="C223" s="10" t="s">
        <v>449</v>
      </c>
      <c r="D223" s="14" t="s">
        <v>450</v>
      </c>
      <c r="E223" s="14"/>
    </row>
    <row r="224" spans="1:5" ht="12.75" customHeight="1" x14ac:dyDescent="0.25">
      <c r="A224" s="10"/>
      <c r="B224" s="10"/>
      <c r="C224" s="10" t="s">
        <v>451</v>
      </c>
      <c r="D224" s="14" t="s">
        <v>452</v>
      </c>
      <c r="E224" s="14"/>
    </row>
    <row r="225" spans="1:5" ht="12.75" customHeight="1" x14ac:dyDescent="0.25">
      <c r="A225" s="10"/>
      <c r="B225" s="10"/>
      <c r="C225" s="10" t="s">
        <v>453</v>
      </c>
      <c r="D225" s="14" t="s">
        <v>454</v>
      </c>
      <c r="E225" s="14"/>
    </row>
    <row r="226" spans="1:5" ht="12.75" customHeight="1" x14ac:dyDescent="0.25">
      <c r="A226" s="10"/>
      <c r="B226" s="10"/>
      <c r="C226" s="10" t="s">
        <v>455</v>
      </c>
      <c r="D226" s="14" t="s">
        <v>456</v>
      </c>
      <c r="E226" s="14"/>
    </row>
    <row r="227" spans="1:5" ht="12.75" customHeight="1" x14ac:dyDescent="0.25">
      <c r="A227" s="10"/>
      <c r="B227" s="10"/>
      <c r="C227" s="10" t="s">
        <v>457</v>
      </c>
      <c r="D227" s="14" t="s">
        <v>458</v>
      </c>
      <c r="E227" s="14"/>
    </row>
    <row r="228" spans="1:5" ht="12.75" customHeight="1" x14ac:dyDescent="0.25">
      <c r="A228" s="10"/>
      <c r="B228" s="10"/>
      <c r="C228" s="10" t="s">
        <v>459</v>
      </c>
      <c r="D228" s="14" t="s">
        <v>460</v>
      </c>
      <c r="E228" s="14" t="s">
        <v>63</v>
      </c>
    </row>
    <row r="229" spans="1:5" ht="12.75" customHeight="1" x14ac:dyDescent="0.25">
      <c r="A229" s="10"/>
      <c r="B229" s="10"/>
      <c r="C229" s="10" t="s">
        <v>461</v>
      </c>
      <c r="D229" s="14" t="s">
        <v>462</v>
      </c>
      <c r="E229" s="14"/>
    </row>
    <row r="230" spans="1:5" ht="12.75" customHeight="1" x14ac:dyDescent="0.25">
      <c r="A230" s="10"/>
      <c r="B230" s="10"/>
      <c r="C230" s="10" t="s">
        <v>463</v>
      </c>
      <c r="D230" s="14" t="s">
        <v>464</v>
      </c>
      <c r="E230" s="14"/>
    </row>
    <row r="231" spans="1:5" ht="12.75" customHeight="1" x14ac:dyDescent="0.25">
      <c r="A231" s="10"/>
      <c r="B231" s="10"/>
      <c r="C231" s="16" t="s">
        <v>465</v>
      </c>
      <c r="D231" s="17"/>
      <c r="E231" s="17"/>
    </row>
    <row r="232" spans="1:5" ht="12.75" customHeight="1" x14ac:dyDescent="0.25">
      <c r="A232" s="10"/>
      <c r="B232" s="10"/>
      <c r="C232" s="10" t="s">
        <v>466</v>
      </c>
      <c r="D232" s="14" t="s">
        <v>467</v>
      </c>
      <c r="E232" s="14" t="s">
        <v>63</v>
      </c>
    </row>
    <row r="233" spans="1:5" ht="12.75" customHeight="1" x14ac:dyDescent="0.25">
      <c r="A233" s="10"/>
      <c r="B233" s="10"/>
      <c r="C233" s="16" t="s">
        <v>468</v>
      </c>
      <c r="D233" s="17"/>
      <c r="E233" s="17"/>
    </row>
    <row r="234" spans="1:5" ht="12.75" customHeight="1" x14ac:dyDescent="0.25">
      <c r="A234" s="10"/>
      <c r="B234" s="10"/>
      <c r="C234" s="10" t="s">
        <v>469</v>
      </c>
      <c r="D234" s="14" t="s">
        <v>470</v>
      </c>
      <c r="E234" s="14" t="s">
        <v>89</v>
      </c>
    </row>
    <row r="235" spans="1:5" ht="12.75" customHeight="1" x14ac:dyDescent="0.25">
      <c r="A235" s="10"/>
      <c r="B235" s="10"/>
      <c r="C235" s="10" t="s">
        <v>471</v>
      </c>
      <c r="D235" s="14" t="s">
        <v>472</v>
      </c>
      <c r="E235" s="14"/>
    </row>
    <row r="236" spans="1:5" ht="12.75" customHeight="1" x14ac:dyDescent="0.25">
      <c r="A236" s="10"/>
      <c r="B236" s="10"/>
      <c r="C236" s="10" t="s">
        <v>473</v>
      </c>
      <c r="D236" s="14" t="s">
        <v>474</v>
      </c>
      <c r="E236" s="14" t="s">
        <v>63</v>
      </c>
    </row>
    <row r="237" spans="1:5" ht="12.75" customHeight="1" x14ac:dyDescent="0.25">
      <c r="A237" s="10"/>
      <c r="B237" s="10"/>
      <c r="C237" s="10" t="s">
        <v>475</v>
      </c>
      <c r="D237" s="14" t="s">
        <v>476</v>
      </c>
      <c r="E237" s="14" t="s">
        <v>63</v>
      </c>
    </row>
    <row r="238" spans="1:5" ht="12.75" customHeight="1" x14ac:dyDescent="0.25">
      <c r="A238" s="10"/>
      <c r="B238" s="10"/>
      <c r="C238" s="16" t="s">
        <v>477</v>
      </c>
      <c r="D238" s="17"/>
      <c r="E238" s="17"/>
    </row>
    <row r="239" spans="1:5" ht="12.75" customHeight="1" x14ac:dyDescent="0.25">
      <c r="A239" s="10"/>
      <c r="B239" s="10"/>
      <c r="C239" s="10" t="s">
        <v>478</v>
      </c>
      <c r="D239" s="14" t="s">
        <v>479</v>
      </c>
      <c r="E239" s="14"/>
    </row>
    <row r="240" spans="1:5" ht="12.75" customHeight="1" x14ac:dyDescent="0.25">
      <c r="A240" s="10"/>
      <c r="B240" s="10"/>
      <c r="C240" s="10" t="s">
        <v>480</v>
      </c>
      <c r="D240" s="14" t="s">
        <v>481</v>
      </c>
      <c r="E240" s="14" t="s">
        <v>63</v>
      </c>
    </row>
    <row r="241" spans="1:5" ht="12.75" customHeight="1" x14ac:dyDescent="0.25">
      <c r="A241" s="18"/>
      <c r="B241" s="18"/>
      <c r="C241" s="18" t="s">
        <v>482</v>
      </c>
      <c r="D241" s="19" t="s">
        <v>483</v>
      </c>
      <c r="E241" s="19" t="s">
        <v>63</v>
      </c>
    </row>
    <row r="242" spans="1:5" ht="12.75" customHeight="1" x14ac:dyDescent="0.25">
      <c r="A242" s="2"/>
      <c r="B242" s="2"/>
      <c r="C242" s="2"/>
      <c r="D242" s="1"/>
      <c r="E242" s="1"/>
    </row>
    <row r="243" spans="1:5" ht="12.75" customHeight="1" x14ac:dyDescent="0.25">
      <c r="A243" s="79" t="s">
        <v>54</v>
      </c>
      <c r="B243" s="79" t="s">
        <v>55</v>
      </c>
      <c r="C243" s="79" t="s">
        <v>56</v>
      </c>
      <c r="D243" s="81" t="s">
        <v>57</v>
      </c>
      <c r="E243" s="82"/>
    </row>
    <row r="244" spans="1:5" ht="12.75" customHeight="1" x14ac:dyDescent="0.25">
      <c r="A244" s="80"/>
      <c r="B244" s="80"/>
      <c r="C244" s="80"/>
      <c r="D244" s="5" t="s">
        <v>58</v>
      </c>
      <c r="E244" s="6" t="s">
        <v>56</v>
      </c>
    </row>
    <row r="245" spans="1:5" ht="12.75" customHeight="1" x14ac:dyDescent="0.25">
      <c r="A245" s="16" t="s">
        <v>396</v>
      </c>
      <c r="B245" s="16" t="s">
        <v>484</v>
      </c>
      <c r="C245" s="16" t="s">
        <v>485</v>
      </c>
      <c r="D245" s="17"/>
      <c r="E245" s="17"/>
    </row>
    <row r="246" spans="1:5" ht="12.75" customHeight="1" x14ac:dyDescent="0.25">
      <c r="A246" s="10"/>
      <c r="B246" s="10"/>
      <c r="C246" s="10" t="s">
        <v>486</v>
      </c>
      <c r="D246" s="14" t="s">
        <v>487</v>
      </c>
      <c r="E246" s="14"/>
    </row>
    <row r="247" spans="1:5" ht="12.75" customHeight="1" x14ac:dyDescent="0.25">
      <c r="A247" s="10"/>
      <c r="B247" s="10"/>
      <c r="C247" s="16" t="s">
        <v>488</v>
      </c>
      <c r="D247" s="17"/>
      <c r="E247" s="17"/>
    </row>
    <row r="248" spans="1:5" ht="12.75" customHeight="1" x14ac:dyDescent="0.25">
      <c r="A248" s="10"/>
      <c r="B248" s="10"/>
      <c r="C248" s="10" t="s">
        <v>489</v>
      </c>
      <c r="D248" s="14" t="s">
        <v>490</v>
      </c>
      <c r="E248" s="14" t="s">
        <v>63</v>
      </c>
    </row>
    <row r="249" spans="1:5" ht="12.75" customHeight="1" x14ac:dyDescent="0.25">
      <c r="A249" s="10"/>
      <c r="B249" s="10"/>
      <c r="C249" s="16" t="s">
        <v>491</v>
      </c>
      <c r="D249" s="17"/>
      <c r="E249" s="17"/>
    </row>
    <row r="250" spans="1:5" ht="12.75" customHeight="1" x14ac:dyDescent="0.25">
      <c r="A250" s="10"/>
      <c r="B250" s="10"/>
      <c r="C250" s="10" t="s">
        <v>492</v>
      </c>
      <c r="D250" s="14" t="s">
        <v>493</v>
      </c>
      <c r="E250" s="14"/>
    </row>
    <row r="251" spans="1:5" ht="12.75" customHeight="1" x14ac:dyDescent="0.25">
      <c r="A251" s="10"/>
      <c r="B251" s="16" t="s">
        <v>494</v>
      </c>
      <c r="C251" s="16" t="s">
        <v>494</v>
      </c>
      <c r="D251" s="17"/>
      <c r="E251" s="17"/>
    </row>
    <row r="252" spans="1:5" x14ac:dyDescent="0.25">
      <c r="A252" s="10"/>
      <c r="B252" s="10"/>
      <c r="C252" s="11" t="s">
        <v>495</v>
      </c>
      <c r="D252" s="12" t="s">
        <v>496</v>
      </c>
      <c r="E252" s="12" t="s">
        <v>63</v>
      </c>
    </row>
    <row r="253" spans="1:5" x14ac:dyDescent="0.25">
      <c r="A253" s="10"/>
      <c r="B253" s="10"/>
      <c r="C253" s="11" t="s">
        <v>497</v>
      </c>
      <c r="D253" s="12" t="s">
        <v>498</v>
      </c>
      <c r="E253" s="12" t="s">
        <v>63</v>
      </c>
    </row>
    <row r="254" spans="1:5" x14ac:dyDescent="0.25">
      <c r="A254" s="10"/>
      <c r="B254" s="10"/>
      <c r="C254" s="11" t="s">
        <v>499</v>
      </c>
      <c r="D254" s="12" t="s">
        <v>500</v>
      </c>
      <c r="E254" s="12"/>
    </row>
    <row r="255" spans="1:5" ht="12.75" customHeight="1" x14ac:dyDescent="0.25">
      <c r="A255" s="10"/>
      <c r="B255" s="16" t="s">
        <v>501</v>
      </c>
      <c r="C255" s="16" t="s">
        <v>502</v>
      </c>
      <c r="D255" s="17"/>
      <c r="E255" s="17"/>
    </row>
    <row r="256" spans="1:5" ht="12.75" customHeight="1" x14ac:dyDescent="0.25">
      <c r="A256" s="10"/>
      <c r="B256" s="10"/>
      <c r="C256" s="10" t="s">
        <v>503</v>
      </c>
      <c r="D256" s="14" t="s">
        <v>504</v>
      </c>
      <c r="E256" s="14"/>
    </row>
    <row r="257" spans="1:5" ht="12.75" customHeight="1" x14ac:dyDescent="0.25">
      <c r="A257" s="10"/>
      <c r="B257" s="10"/>
      <c r="C257" s="16" t="s">
        <v>505</v>
      </c>
      <c r="D257" s="17"/>
      <c r="E257" s="17"/>
    </row>
    <row r="258" spans="1:5" ht="12.75" customHeight="1" x14ac:dyDescent="0.25">
      <c r="A258" s="10"/>
      <c r="B258" s="10"/>
      <c r="C258" s="24" t="s">
        <v>506</v>
      </c>
      <c r="D258" s="28" t="s">
        <v>507</v>
      </c>
      <c r="E258" s="14" t="s">
        <v>63</v>
      </c>
    </row>
    <row r="259" spans="1:5" ht="12.75" customHeight="1" x14ac:dyDescent="0.25">
      <c r="A259" s="10"/>
      <c r="B259" s="10"/>
      <c r="C259" s="10" t="s">
        <v>508</v>
      </c>
      <c r="D259" s="14" t="s">
        <v>509</v>
      </c>
      <c r="E259" s="14" t="s">
        <v>63</v>
      </c>
    </row>
    <row r="260" spans="1:5" ht="12.75" customHeight="1" x14ac:dyDescent="0.25">
      <c r="A260" s="10"/>
      <c r="B260" s="16" t="s">
        <v>510</v>
      </c>
      <c r="C260" s="16" t="s">
        <v>511</v>
      </c>
      <c r="D260" s="17"/>
      <c r="E260" s="17"/>
    </row>
    <row r="261" spans="1:5" ht="12.75" customHeight="1" x14ac:dyDescent="0.25">
      <c r="A261" s="10"/>
      <c r="B261" s="10"/>
      <c r="C261" s="10" t="s">
        <v>512</v>
      </c>
      <c r="D261" s="14" t="s">
        <v>513</v>
      </c>
      <c r="E261" s="14"/>
    </row>
    <row r="262" spans="1:5" ht="12.75" customHeight="1" x14ac:dyDescent="0.25">
      <c r="A262" s="10"/>
      <c r="B262" s="10"/>
      <c r="C262" s="16" t="s">
        <v>514</v>
      </c>
      <c r="D262" s="17"/>
      <c r="E262" s="17"/>
    </row>
    <row r="263" spans="1:5" ht="12.75" customHeight="1" x14ac:dyDescent="0.25">
      <c r="A263" s="10"/>
      <c r="B263" s="10"/>
      <c r="C263" s="10" t="s">
        <v>515</v>
      </c>
      <c r="D263" s="14" t="s">
        <v>516</v>
      </c>
      <c r="E263" s="14"/>
    </row>
    <row r="264" spans="1:5" ht="12.75" customHeight="1" x14ac:dyDescent="0.25">
      <c r="A264" s="10"/>
      <c r="B264" s="10"/>
      <c r="C264" s="16" t="s">
        <v>517</v>
      </c>
      <c r="D264" s="17"/>
      <c r="E264" s="17"/>
    </row>
    <row r="265" spans="1:5" ht="12.75" customHeight="1" x14ac:dyDescent="0.25">
      <c r="A265" s="10"/>
      <c r="B265" s="10"/>
      <c r="C265" s="10" t="s">
        <v>518</v>
      </c>
      <c r="D265" s="14" t="s">
        <v>519</v>
      </c>
      <c r="E265" s="14"/>
    </row>
    <row r="266" spans="1:5" ht="12.75" customHeight="1" x14ac:dyDescent="0.25">
      <c r="A266" s="10"/>
      <c r="B266" s="10"/>
      <c r="C266" s="10" t="s">
        <v>520</v>
      </c>
      <c r="D266" s="14" t="s">
        <v>521</v>
      </c>
      <c r="E266" s="14" t="s">
        <v>63</v>
      </c>
    </row>
    <row r="267" spans="1:5" ht="12.75" customHeight="1" x14ac:dyDescent="0.25">
      <c r="A267" s="10"/>
      <c r="B267" s="10"/>
      <c r="C267" s="16" t="s">
        <v>522</v>
      </c>
      <c r="D267" s="17"/>
      <c r="E267" s="17"/>
    </row>
    <row r="268" spans="1:5" ht="12.75" customHeight="1" x14ac:dyDescent="0.25">
      <c r="A268" s="10"/>
      <c r="B268" s="10"/>
      <c r="C268" s="10" t="s">
        <v>523</v>
      </c>
      <c r="D268" s="14" t="s">
        <v>524</v>
      </c>
      <c r="E268" s="14" t="s">
        <v>63</v>
      </c>
    </row>
    <row r="269" spans="1:5" ht="12.75" customHeight="1" x14ac:dyDescent="0.25">
      <c r="A269" s="10"/>
      <c r="B269" s="10"/>
      <c r="C269" s="16" t="s">
        <v>525</v>
      </c>
      <c r="D269" s="17"/>
      <c r="E269" s="17"/>
    </row>
    <row r="270" spans="1:5" ht="12.75" customHeight="1" x14ac:dyDescent="0.25">
      <c r="A270" s="10"/>
      <c r="B270" s="10"/>
      <c r="C270" s="10" t="s">
        <v>526</v>
      </c>
      <c r="D270" s="14" t="s">
        <v>527</v>
      </c>
      <c r="E270" s="15" t="s">
        <v>228</v>
      </c>
    </row>
    <row r="271" spans="1:5" ht="12.75" customHeight="1" x14ac:dyDescent="0.25">
      <c r="A271" s="10"/>
      <c r="B271" s="16" t="s">
        <v>528</v>
      </c>
      <c r="C271" s="16" t="s">
        <v>529</v>
      </c>
      <c r="D271" s="17"/>
      <c r="E271" s="17"/>
    </row>
    <row r="272" spans="1:5" s="27" customFormat="1" ht="12.75" customHeight="1" x14ac:dyDescent="0.25">
      <c r="A272" s="24"/>
      <c r="B272" s="22"/>
      <c r="C272" s="10" t="s">
        <v>530</v>
      </c>
      <c r="D272" s="14" t="s">
        <v>531</v>
      </c>
      <c r="E272" s="14" t="s">
        <v>63</v>
      </c>
    </row>
    <row r="273" spans="1:5" ht="12.75" customHeight="1" x14ac:dyDescent="0.25">
      <c r="A273" s="10"/>
      <c r="B273" s="10"/>
      <c r="C273" s="10" t="s">
        <v>532</v>
      </c>
      <c r="D273" s="14" t="s">
        <v>533</v>
      </c>
      <c r="E273" s="33" t="s">
        <v>234</v>
      </c>
    </row>
    <row r="274" spans="1:5" ht="12.75" customHeight="1" x14ac:dyDescent="0.25">
      <c r="A274" s="10"/>
      <c r="B274" s="10"/>
      <c r="C274" s="10" t="s">
        <v>534</v>
      </c>
      <c r="D274" s="14" t="s">
        <v>535</v>
      </c>
      <c r="E274" s="14" t="s">
        <v>63</v>
      </c>
    </row>
    <row r="275" spans="1:5" ht="12.75" customHeight="1" x14ac:dyDescent="0.25">
      <c r="A275" s="10"/>
      <c r="B275" s="10"/>
      <c r="C275" s="10" t="s">
        <v>536</v>
      </c>
      <c r="D275" s="14" t="s">
        <v>537</v>
      </c>
      <c r="E275" s="14" t="s">
        <v>63</v>
      </c>
    </row>
    <row r="276" spans="1:5" ht="12.75" customHeight="1" x14ac:dyDescent="0.25">
      <c r="A276" s="10"/>
      <c r="B276" s="10"/>
      <c r="C276" s="10" t="s">
        <v>538</v>
      </c>
      <c r="D276" s="14" t="s">
        <v>539</v>
      </c>
      <c r="E276" s="14" t="s">
        <v>63</v>
      </c>
    </row>
    <row r="277" spans="1:5" ht="12.75" customHeight="1" x14ac:dyDescent="0.25">
      <c r="A277" s="10"/>
      <c r="B277" s="10"/>
      <c r="C277" s="16" t="s">
        <v>540</v>
      </c>
      <c r="D277" s="17"/>
      <c r="E277" s="17"/>
    </row>
    <row r="278" spans="1:5" ht="12.75" customHeight="1" x14ac:dyDescent="0.25">
      <c r="A278" s="10"/>
      <c r="B278" s="10"/>
      <c r="C278" s="10" t="s">
        <v>541</v>
      </c>
      <c r="D278" s="14" t="s">
        <v>542</v>
      </c>
      <c r="E278" s="14" t="s">
        <v>63</v>
      </c>
    </row>
    <row r="279" spans="1:5" ht="12.75" customHeight="1" x14ac:dyDescent="0.25">
      <c r="A279" s="10"/>
      <c r="B279" s="10"/>
      <c r="C279" s="10" t="s">
        <v>543</v>
      </c>
      <c r="D279" s="14" t="s">
        <v>544</v>
      </c>
      <c r="E279" s="14" t="s">
        <v>63</v>
      </c>
    </row>
    <row r="280" spans="1:5" ht="12.75" customHeight="1" x14ac:dyDescent="0.25">
      <c r="A280" s="10"/>
      <c r="B280" s="10"/>
      <c r="C280" s="10" t="s">
        <v>545</v>
      </c>
      <c r="D280" s="14" t="s">
        <v>546</v>
      </c>
      <c r="E280" s="15" t="s">
        <v>228</v>
      </c>
    </row>
    <row r="281" spans="1:5" ht="12.75" customHeight="1" x14ac:dyDescent="0.25">
      <c r="A281" s="10"/>
      <c r="B281" s="10"/>
      <c r="C281" s="10" t="s">
        <v>547</v>
      </c>
      <c r="D281" s="14" t="s">
        <v>548</v>
      </c>
      <c r="E281" s="14" t="s">
        <v>63</v>
      </c>
    </row>
    <row r="282" spans="1:5" ht="12.75" customHeight="1" x14ac:dyDescent="0.25">
      <c r="A282" s="10"/>
      <c r="B282" s="10"/>
      <c r="C282" s="10" t="s">
        <v>549</v>
      </c>
      <c r="D282" s="14" t="s">
        <v>550</v>
      </c>
      <c r="E282" s="14"/>
    </row>
    <row r="283" spans="1:5" ht="12.75" customHeight="1" x14ac:dyDescent="0.25">
      <c r="A283" s="10"/>
      <c r="B283" s="10"/>
      <c r="C283" s="16" t="s">
        <v>551</v>
      </c>
      <c r="D283" s="17"/>
      <c r="E283" s="17"/>
    </row>
    <row r="284" spans="1:5" ht="12.75" customHeight="1" x14ac:dyDescent="0.25">
      <c r="A284" s="10"/>
      <c r="B284" s="10"/>
      <c r="C284" s="10" t="s">
        <v>552</v>
      </c>
      <c r="D284" s="14" t="s">
        <v>553</v>
      </c>
      <c r="E284" s="14" t="s">
        <v>63</v>
      </c>
    </row>
    <row r="285" spans="1:5" ht="12.75" customHeight="1" x14ac:dyDescent="0.25">
      <c r="A285" s="10"/>
      <c r="B285" s="16" t="s">
        <v>327</v>
      </c>
      <c r="C285" s="16" t="s">
        <v>441</v>
      </c>
      <c r="D285" s="17"/>
      <c r="E285" s="17"/>
    </row>
    <row r="286" spans="1:5" ht="12.75" customHeight="1" x14ac:dyDescent="0.25">
      <c r="A286" s="10"/>
      <c r="B286" s="10"/>
      <c r="C286" s="10" t="s">
        <v>554</v>
      </c>
      <c r="D286" s="14" t="s">
        <v>555</v>
      </c>
      <c r="E286" s="14" t="s">
        <v>63</v>
      </c>
    </row>
    <row r="287" spans="1:5" ht="12.75" customHeight="1" x14ac:dyDescent="0.25">
      <c r="A287" s="10"/>
      <c r="B287" s="10"/>
      <c r="C287" s="10" t="s">
        <v>556</v>
      </c>
      <c r="D287" s="14" t="s">
        <v>557</v>
      </c>
      <c r="E287" s="14" t="s">
        <v>63</v>
      </c>
    </row>
    <row r="288" spans="1:5" ht="12.75" customHeight="1" x14ac:dyDescent="0.25">
      <c r="A288" s="10"/>
      <c r="B288" s="10"/>
      <c r="C288" s="10" t="s">
        <v>558</v>
      </c>
      <c r="D288" s="14" t="s">
        <v>559</v>
      </c>
      <c r="E288" s="14"/>
    </row>
    <row r="289" spans="1:5" ht="12.75" customHeight="1" x14ac:dyDescent="0.25">
      <c r="A289" s="10"/>
      <c r="B289" s="10"/>
      <c r="C289" s="10" t="s">
        <v>560</v>
      </c>
      <c r="D289" s="14" t="s">
        <v>561</v>
      </c>
      <c r="E289" s="14"/>
    </row>
    <row r="290" spans="1:5" ht="12.75" customHeight="1" x14ac:dyDescent="0.25">
      <c r="A290" s="10"/>
      <c r="B290" s="10"/>
      <c r="C290" s="10" t="s">
        <v>562</v>
      </c>
      <c r="D290" s="14" t="s">
        <v>563</v>
      </c>
      <c r="E290" s="14" t="s">
        <v>63</v>
      </c>
    </row>
    <row r="291" spans="1:5" ht="12.75" customHeight="1" x14ac:dyDescent="0.25">
      <c r="A291" s="10"/>
      <c r="B291" s="10"/>
      <c r="C291" s="10" t="s">
        <v>564</v>
      </c>
      <c r="D291" s="14" t="s">
        <v>565</v>
      </c>
      <c r="E291" s="14" t="s">
        <v>63</v>
      </c>
    </row>
    <row r="292" spans="1:5" ht="12.75" customHeight="1" x14ac:dyDescent="0.25">
      <c r="A292" s="10"/>
      <c r="B292" s="10"/>
      <c r="C292" s="10" t="s">
        <v>566</v>
      </c>
      <c r="D292" s="14" t="s">
        <v>567</v>
      </c>
      <c r="E292" s="14" t="s">
        <v>63</v>
      </c>
    </row>
    <row r="293" spans="1:5" ht="12.75" customHeight="1" x14ac:dyDescent="0.25">
      <c r="A293" s="10"/>
      <c r="B293" s="10"/>
      <c r="C293" s="16" t="s">
        <v>485</v>
      </c>
      <c r="D293" s="17"/>
      <c r="E293" s="17"/>
    </row>
    <row r="294" spans="1:5" ht="12.75" customHeight="1" x14ac:dyDescent="0.25">
      <c r="A294" s="10"/>
      <c r="B294" s="10"/>
      <c r="C294" s="10" t="s">
        <v>568</v>
      </c>
      <c r="D294" s="14" t="s">
        <v>569</v>
      </c>
      <c r="E294" s="14" t="s">
        <v>63</v>
      </c>
    </row>
    <row r="295" spans="1:5" ht="12.75" customHeight="1" x14ac:dyDescent="0.25">
      <c r="A295" s="10"/>
      <c r="B295" s="10"/>
      <c r="C295" s="10" t="s">
        <v>570</v>
      </c>
      <c r="D295" s="14" t="s">
        <v>571</v>
      </c>
      <c r="E295" s="14" t="s">
        <v>63</v>
      </c>
    </row>
    <row r="296" spans="1:5" ht="12.75" customHeight="1" x14ac:dyDescent="0.25">
      <c r="A296" s="10"/>
      <c r="B296" s="10"/>
      <c r="C296" s="16" t="s">
        <v>572</v>
      </c>
      <c r="D296" s="17"/>
      <c r="E296" s="17"/>
    </row>
    <row r="297" spans="1:5" ht="12.75" customHeight="1" x14ac:dyDescent="0.25">
      <c r="A297" s="10"/>
      <c r="B297" s="10"/>
      <c r="C297" s="10" t="s">
        <v>573</v>
      </c>
      <c r="D297" s="14" t="s">
        <v>574</v>
      </c>
      <c r="E297" s="14" t="s">
        <v>63</v>
      </c>
    </row>
    <row r="298" spans="1:5" s="27" customFormat="1" x14ac:dyDescent="0.25">
      <c r="A298" s="24"/>
      <c r="B298" s="24"/>
      <c r="C298" s="34" t="s">
        <v>575</v>
      </c>
      <c r="D298" s="35" t="s">
        <v>576</v>
      </c>
      <c r="E298" s="33" t="s">
        <v>63</v>
      </c>
    </row>
    <row r="299" spans="1:5" s="4" customFormat="1" ht="12.75" customHeight="1" x14ac:dyDescent="0.25">
      <c r="A299" s="10"/>
      <c r="B299" s="10"/>
      <c r="C299" s="10" t="s">
        <v>577</v>
      </c>
      <c r="D299" s="14" t="s">
        <v>578</v>
      </c>
      <c r="E299" s="14" t="s">
        <v>89</v>
      </c>
    </row>
    <row r="300" spans="1:5" ht="12.75" customHeight="1" x14ac:dyDescent="0.25">
      <c r="A300" s="18"/>
      <c r="B300" s="18"/>
      <c r="C300" s="36" t="s">
        <v>579</v>
      </c>
      <c r="D300" s="37" t="s">
        <v>580</v>
      </c>
      <c r="E300" s="37" t="s">
        <v>194</v>
      </c>
    </row>
    <row r="301" spans="1:5" ht="12.75" customHeight="1" x14ac:dyDescent="0.25">
      <c r="A301" s="2"/>
      <c r="B301" s="2"/>
      <c r="C301" s="2"/>
      <c r="D301" s="1"/>
      <c r="E301" s="1"/>
    </row>
    <row r="302" spans="1:5" ht="12.75" customHeight="1" x14ac:dyDescent="0.25">
      <c r="A302" s="79" t="s">
        <v>54</v>
      </c>
      <c r="B302" s="79" t="s">
        <v>55</v>
      </c>
      <c r="C302" s="79" t="s">
        <v>56</v>
      </c>
      <c r="D302" s="81" t="s">
        <v>57</v>
      </c>
      <c r="E302" s="82"/>
    </row>
    <row r="303" spans="1:5" ht="12.75" customHeight="1" x14ac:dyDescent="0.25">
      <c r="A303" s="80"/>
      <c r="B303" s="80"/>
      <c r="C303" s="80"/>
      <c r="D303" s="5" t="s">
        <v>58</v>
      </c>
      <c r="E303" s="6" t="s">
        <v>56</v>
      </c>
    </row>
    <row r="304" spans="1:5" ht="12.75" customHeight="1" x14ac:dyDescent="0.25">
      <c r="A304" s="20" t="s">
        <v>581</v>
      </c>
      <c r="B304" s="20" t="s">
        <v>582</v>
      </c>
      <c r="C304" s="20" t="s">
        <v>582</v>
      </c>
      <c r="D304" s="23"/>
      <c r="E304" s="23"/>
    </row>
    <row r="305" spans="1:5" ht="12.75" customHeight="1" x14ac:dyDescent="0.25">
      <c r="A305" s="11"/>
      <c r="B305" s="11"/>
      <c r="C305" s="11" t="s">
        <v>583</v>
      </c>
      <c r="D305" s="14" t="s">
        <v>584</v>
      </c>
      <c r="E305" s="15" t="s">
        <v>234</v>
      </c>
    </row>
    <row r="306" spans="1:5" ht="12.75" customHeight="1" x14ac:dyDescent="0.25">
      <c r="A306" s="11"/>
      <c r="B306" s="11"/>
      <c r="C306" s="11" t="s">
        <v>585</v>
      </c>
      <c r="D306" s="14" t="s">
        <v>586</v>
      </c>
      <c r="E306" s="15" t="s">
        <v>310</v>
      </c>
    </row>
    <row r="307" spans="1:5" ht="12.75" customHeight="1" x14ac:dyDescent="0.25">
      <c r="A307" s="11"/>
      <c r="B307" s="11"/>
      <c r="C307" s="11" t="s">
        <v>587</v>
      </c>
      <c r="D307" s="14" t="s">
        <v>588</v>
      </c>
      <c r="E307" s="15" t="s">
        <v>234</v>
      </c>
    </row>
    <row r="308" spans="1:5" ht="12.75" customHeight="1" x14ac:dyDescent="0.25">
      <c r="A308" s="11"/>
      <c r="B308" s="11"/>
      <c r="C308" s="11" t="s">
        <v>589</v>
      </c>
      <c r="D308" s="14" t="s">
        <v>590</v>
      </c>
      <c r="E308" s="15" t="s">
        <v>63</v>
      </c>
    </row>
    <row r="309" spans="1:5" ht="12.75" customHeight="1" x14ac:dyDescent="0.25">
      <c r="A309" s="11"/>
      <c r="B309" s="20" t="s">
        <v>591</v>
      </c>
      <c r="C309" s="20" t="s">
        <v>591</v>
      </c>
      <c r="D309" s="23"/>
      <c r="E309" s="23"/>
    </row>
    <row r="310" spans="1:5" ht="12.75" customHeight="1" x14ac:dyDescent="0.25">
      <c r="A310" s="11"/>
      <c r="B310" s="20" t="s">
        <v>592</v>
      </c>
      <c r="C310" s="20" t="s">
        <v>592</v>
      </c>
      <c r="D310" s="23"/>
      <c r="E310" s="23"/>
    </row>
    <row r="311" spans="1:5" x14ac:dyDescent="0.25">
      <c r="A311" s="10"/>
      <c r="B311" s="10"/>
      <c r="C311" s="10" t="s">
        <v>593</v>
      </c>
      <c r="D311" s="14" t="s">
        <v>594</v>
      </c>
      <c r="E311" s="15"/>
    </row>
    <row r="312" spans="1:5" ht="12.75" customHeight="1" x14ac:dyDescent="0.25">
      <c r="A312" s="11"/>
      <c r="B312" s="11"/>
      <c r="C312" s="11" t="s">
        <v>595</v>
      </c>
      <c r="D312" s="14" t="s">
        <v>596</v>
      </c>
      <c r="E312" s="14" t="s">
        <v>63</v>
      </c>
    </row>
    <row r="313" spans="1:5" ht="12.75" customHeight="1" x14ac:dyDescent="0.25">
      <c r="A313" s="11"/>
      <c r="B313" s="11"/>
      <c r="C313" s="11" t="s">
        <v>597</v>
      </c>
      <c r="D313" s="14" t="s">
        <v>598</v>
      </c>
      <c r="E313" s="14"/>
    </row>
    <row r="314" spans="1:5" ht="12.75" customHeight="1" x14ac:dyDescent="0.25">
      <c r="A314" s="11"/>
      <c r="B314" s="11"/>
      <c r="C314" s="11" t="s">
        <v>599</v>
      </c>
      <c r="D314" s="14" t="s">
        <v>600</v>
      </c>
      <c r="E314" s="14" t="s">
        <v>63</v>
      </c>
    </row>
    <row r="315" spans="1:5" ht="12.75" customHeight="1" x14ac:dyDescent="0.25">
      <c r="A315" s="11"/>
      <c r="B315" s="11"/>
      <c r="C315" s="11" t="s">
        <v>601</v>
      </c>
      <c r="D315" s="14" t="s">
        <v>602</v>
      </c>
      <c r="E315" s="14" t="s">
        <v>63</v>
      </c>
    </row>
    <row r="316" spans="1:5" ht="12.75" customHeight="1" x14ac:dyDescent="0.25">
      <c r="A316" s="11"/>
      <c r="B316" s="11"/>
      <c r="C316" s="11" t="s">
        <v>603</v>
      </c>
      <c r="D316" s="14" t="s">
        <v>604</v>
      </c>
      <c r="E316" s="14" t="s">
        <v>63</v>
      </c>
    </row>
    <row r="317" spans="1:5" ht="12.75" customHeight="1" x14ac:dyDescent="0.25">
      <c r="A317" s="11"/>
      <c r="B317" s="11"/>
      <c r="C317" s="11" t="s">
        <v>605</v>
      </c>
      <c r="D317" s="14" t="s">
        <v>606</v>
      </c>
      <c r="E317" s="14" t="s">
        <v>63</v>
      </c>
    </row>
    <row r="318" spans="1:5" ht="12.75" customHeight="1" x14ac:dyDescent="0.25">
      <c r="A318" s="11"/>
      <c r="B318" s="11"/>
      <c r="C318" s="11" t="s">
        <v>607</v>
      </c>
      <c r="D318" s="14" t="s">
        <v>608</v>
      </c>
      <c r="E318" s="14" t="s">
        <v>63</v>
      </c>
    </row>
    <row r="319" spans="1:5" ht="12.75" customHeight="1" x14ac:dyDescent="0.25">
      <c r="A319" s="11"/>
      <c r="B319" s="11"/>
      <c r="C319" s="11" t="s">
        <v>609</v>
      </c>
      <c r="D319" s="14" t="s">
        <v>610</v>
      </c>
      <c r="E319" s="14" t="s">
        <v>63</v>
      </c>
    </row>
    <row r="320" spans="1:5" ht="12.75" customHeight="1" x14ac:dyDescent="0.25">
      <c r="A320" s="11"/>
      <c r="B320" s="20" t="s">
        <v>611</v>
      </c>
      <c r="C320" s="20" t="s">
        <v>611</v>
      </c>
      <c r="D320" s="23"/>
      <c r="E320" s="23"/>
    </row>
    <row r="321" spans="1:5" ht="12.75" customHeight="1" x14ac:dyDescent="0.25">
      <c r="A321" s="11"/>
      <c r="B321" s="11"/>
      <c r="C321" s="11" t="s">
        <v>612</v>
      </c>
      <c r="D321" s="12" t="s">
        <v>613</v>
      </c>
      <c r="E321" s="12"/>
    </row>
    <row r="322" spans="1:5" ht="12.75" customHeight="1" x14ac:dyDescent="0.25">
      <c r="A322" s="11"/>
      <c r="B322" s="11"/>
      <c r="C322" s="11" t="s">
        <v>614</v>
      </c>
      <c r="D322" s="12" t="s">
        <v>615</v>
      </c>
      <c r="E322" s="15" t="s">
        <v>234</v>
      </c>
    </row>
    <row r="323" spans="1:5" ht="12.75" customHeight="1" x14ac:dyDescent="0.25">
      <c r="A323" s="11"/>
      <c r="B323" s="20" t="s">
        <v>390</v>
      </c>
      <c r="C323" s="20" t="s">
        <v>582</v>
      </c>
      <c r="D323" s="23"/>
      <c r="E323" s="23"/>
    </row>
    <row r="324" spans="1:5" ht="12.75" customHeight="1" x14ac:dyDescent="0.25">
      <c r="A324" s="10"/>
      <c r="B324" s="10"/>
      <c r="C324" s="10" t="s">
        <v>616</v>
      </c>
      <c r="D324" s="14" t="s">
        <v>617</v>
      </c>
      <c r="E324" s="14"/>
    </row>
    <row r="325" spans="1:5" ht="12.75" customHeight="1" x14ac:dyDescent="0.25">
      <c r="A325" s="10"/>
      <c r="B325" s="10"/>
      <c r="C325" s="10" t="s">
        <v>618</v>
      </c>
      <c r="D325" s="14" t="s">
        <v>619</v>
      </c>
      <c r="E325" s="14" t="s">
        <v>63</v>
      </c>
    </row>
    <row r="326" spans="1:5" s="4" customFormat="1" ht="12.75" customHeight="1" x14ac:dyDescent="0.25">
      <c r="A326" s="10"/>
      <c r="B326" s="10"/>
      <c r="C326" s="10" t="s">
        <v>620</v>
      </c>
      <c r="D326" s="14" t="s">
        <v>621</v>
      </c>
      <c r="E326" s="14" t="s">
        <v>63</v>
      </c>
    </row>
    <row r="327" spans="1:5" s="4" customFormat="1" ht="12.75" customHeight="1" x14ac:dyDescent="0.25">
      <c r="A327" s="18"/>
      <c r="B327" s="18"/>
      <c r="C327" s="18" t="s">
        <v>622</v>
      </c>
      <c r="D327" s="19" t="s">
        <v>623</v>
      </c>
      <c r="E327" s="19" t="s">
        <v>63</v>
      </c>
    </row>
    <row r="328" spans="1:5" ht="12.75" customHeight="1" x14ac:dyDescent="0.25">
      <c r="A328" s="2"/>
      <c r="B328" s="2"/>
      <c r="C328" s="2"/>
      <c r="D328" s="1"/>
      <c r="E328" s="1"/>
    </row>
    <row r="329" spans="1:5" ht="12.75" customHeight="1" x14ac:dyDescent="0.25">
      <c r="A329" s="79" t="s">
        <v>54</v>
      </c>
      <c r="B329" s="79" t="s">
        <v>55</v>
      </c>
      <c r="C329" s="79" t="s">
        <v>56</v>
      </c>
      <c r="D329" s="81" t="s">
        <v>57</v>
      </c>
      <c r="E329" s="82"/>
    </row>
    <row r="330" spans="1:5" ht="12.75" customHeight="1" x14ac:dyDescent="0.25">
      <c r="A330" s="80"/>
      <c r="B330" s="80"/>
      <c r="C330" s="80"/>
      <c r="D330" s="5" t="s">
        <v>58</v>
      </c>
      <c r="E330" s="6" t="s">
        <v>56</v>
      </c>
    </row>
    <row r="331" spans="1:5" ht="12.75" customHeight="1" x14ac:dyDescent="0.25">
      <c r="A331" s="16" t="s">
        <v>624</v>
      </c>
      <c r="B331" s="16" t="s">
        <v>625</v>
      </c>
      <c r="C331" s="16" t="s">
        <v>625</v>
      </c>
      <c r="D331" s="17"/>
      <c r="E331" s="17"/>
    </row>
    <row r="332" spans="1:5" ht="12.75" customHeight="1" x14ac:dyDescent="0.25">
      <c r="A332" s="10"/>
      <c r="B332" s="10"/>
      <c r="C332" s="10" t="s">
        <v>626</v>
      </c>
      <c r="D332" s="14" t="s">
        <v>627</v>
      </c>
      <c r="E332" s="14" t="s">
        <v>63</v>
      </c>
    </row>
    <row r="333" spans="1:5" ht="12.75" customHeight="1" x14ac:dyDescent="0.25">
      <c r="A333" s="10"/>
      <c r="B333" s="16" t="s">
        <v>628</v>
      </c>
      <c r="C333" s="16" t="s">
        <v>628</v>
      </c>
      <c r="D333" s="17"/>
      <c r="E333" s="17"/>
    </row>
    <row r="334" spans="1:5" s="27" customFormat="1" ht="12.75" customHeight="1" x14ac:dyDescent="0.25">
      <c r="A334" s="24"/>
      <c r="B334" s="24"/>
      <c r="C334" s="29" t="s">
        <v>629</v>
      </c>
      <c r="D334" s="26" t="s">
        <v>630</v>
      </c>
      <c r="E334" s="29" t="s">
        <v>234</v>
      </c>
    </row>
    <row r="335" spans="1:5" ht="12.75" customHeight="1" x14ac:dyDescent="0.25">
      <c r="A335" s="10"/>
      <c r="B335" s="10"/>
      <c r="C335" s="10" t="s">
        <v>631</v>
      </c>
      <c r="D335" s="14" t="s">
        <v>631</v>
      </c>
      <c r="E335" s="14" t="s">
        <v>63</v>
      </c>
    </row>
    <row r="336" spans="1:5" ht="12.75" customHeight="1" x14ac:dyDescent="0.25">
      <c r="A336" s="10"/>
      <c r="B336" s="10"/>
      <c r="C336" s="10" t="s">
        <v>632</v>
      </c>
      <c r="D336" s="14" t="s">
        <v>633</v>
      </c>
      <c r="E336" s="14" t="s">
        <v>63</v>
      </c>
    </row>
    <row r="337" spans="1:5" ht="12.75" customHeight="1" x14ac:dyDescent="0.25">
      <c r="A337" s="10"/>
      <c r="B337" s="10"/>
      <c r="C337" s="10" t="s">
        <v>634</v>
      </c>
      <c r="D337" s="14" t="s">
        <v>635</v>
      </c>
      <c r="E337" s="15" t="s">
        <v>234</v>
      </c>
    </row>
    <row r="338" spans="1:5" ht="12.75" customHeight="1" x14ac:dyDescent="0.25">
      <c r="A338" s="10"/>
      <c r="B338" s="10"/>
      <c r="C338" s="10" t="s">
        <v>636</v>
      </c>
      <c r="D338" s="14" t="s">
        <v>637</v>
      </c>
      <c r="E338" s="14" t="s">
        <v>63</v>
      </c>
    </row>
    <row r="339" spans="1:5" s="4" customFormat="1" ht="12.75" customHeight="1" x14ac:dyDescent="0.25">
      <c r="A339" s="18"/>
      <c r="B339" s="18"/>
      <c r="C339" s="18" t="s">
        <v>638</v>
      </c>
      <c r="D339" s="19" t="s">
        <v>639</v>
      </c>
      <c r="E339" s="19" t="s">
        <v>63</v>
      </c>
    </row>
    <row r="340" spans="1:5" ht="12.75" customHeight="1" x14ac:dyDescent="0.25">
      <c r="A340" s="2"/>
      <c r="B340" s="2"/>
      <c r="C340" s="2"/>
      <c r="D340" s="1"/>
      <c r="E340" s="1"/>
    </row>
    <row r="341" spans="1:5" ht="12.75" customHeight="1" x14ac:dyDescent="0.25">
      <c r="A341" s="79" t="s">
        <v>54</v>
      </c>
      <c r="B341" s="79" t="s">
        <v>55</v>
      </c>
      <c r="C341" s="79" t="s">
        <v>56</v>
      </c>
      <c r="D341" s="81" t="s">
        <v>57</v>
      </c>
      <c r="E341" s="82"/>
    </row>
    <row r="342" spans="1:5" ht="12.75" customHeight="1" x14ac:dyDescent="0.25">
      <c r="A342" s="80"/>
      <c r="B342" s="80"/>
      <c r="C342" s="80"/>
      <c r="D342" s="5" t="s">
        <v>58</v>
      </c>
      <c r="E342" s="6" t="s">
        <v>56</v>
      </c>
    </row>
    <row r="343" spans="1:5" ht="12.75" customHeight="1" x14ac:dyDescent="0.25">
      <c r="A343" s="7" t="s">
        <v>640</v>
      </c>
      <c r="B343" s="7" t="s">
        <v>641</v>
      </c>
      <c r="C343" s="7" t="s">
        <v>641</v>
      </c>
      <c r="D343" s="9"/>
      <c r="E343" s="9"/>
    </row>
    <row r="344" spans="1:5" ht="12.75" customHeight="1" x14ac:dyDescent="0.25">
      <c r="A344" s="10"/>
      <c r="B344" s="10"/>
      <c r="C344" s="10" t="s">
        <v>642</v>
      </c>
      <c r="D344" s="14" t="s">
        <v>643</v>
      </c>
      <c r="E344" s="14"/>
    </row>
    <row r="345" spans="1:5" s="4" customFormat="1" ht="12.75" customHeight="1" x14ac:dyDescent="0.25">
      <c r="A345" s="10"/>
      <c r="B345" s="10"/>
      <c r="C345" s="10" t="s">
        <v>644</v>
      </c>
      <c r="D345" s="14" t="s">
        <v>645</v>
      </c>
      <c r="E345" s="15" t="s">
        <v>646</v>
      </c>
    </row>
    <row r="346" spans="1:5" ht="12.75" customHeight="1" x14ac:dyDescent="0.25">
      <c r="A346" s="10"/>
      <c r="B346" s="10"/>
      <c r="C346" s="11" t="s">
        <v>647</v>
      </c>
      <c r="D346" s="12" t="s">
        <v>648</v>
      </c>
      <c r="E346" s="12"/>
    </row>
    <row r="347" spans="1:5" ht="12.75" customHeight="1" x14ac:dyDescent="0.25">
      <c r="A347" s="10"/>
      <c r="B347" s="10"/>
      <c r="C347" s="10" t="s">
        <v>649</v>
      </c>
      <c r="D347" s="14" t="s">
        <v>650</v>
      </c>
      <c r="E347" s="14"/>
    </row>
    <row r="348" spans="1:5" s="4" customFormat="1" ht="12.75" customHeight="1" x14ac:dyDescent="0.25">
      <c r="A348" s="10"/>
      <c r="B348" s="10"/>
      <c r="C348" s="10" t="s">
        <v>651</v>
      </c>
      <c r="D348" s="14" t="s">
        <v>652</v>
      </c>
      <c r="E348" s="14" t="s">
        <v>63</v>
      </c>
    </row>
    <row r="349" spans="1:5" ht="26.4" x14ac:dyDescent="0.25">
      <c r="A349" s="10"/>
      <c r="B349" s="38" t="s">
        <v>653</v>
      </c>
      <c r="C349" s="39" t="s">
        <v>654</v>
      </c>
      <c r="D349" s="17"/>
      <c r="E349" s="17"/>
    </row>
    <row r="350" spans="1:5" s="27" customFormat="1" x14ac:dyDescent="0.25">
      <c r="A350" s="40"/>
      <c r="B350" s="41"/>
      <c r="C350" s="42" t="s">
        <v>655</v>
      </c>
      <c r="D350" s="43" t="s">
        <v>656</v>
      </c>
      <c r="E350" s="44" t="s">
        <v>234</v>
      </c>
    </row>
    <row r="351" spans="1:5" ht="12.75" customHeight="1" x14ac:dyDescent="0.25">
      <c r="A351" s="2"/>
      <c r="B351" s="2"/>
      <c r="C351" s="2"/>
      <c r="D351" s="1"/>
      <c r="E351" s="1"/>
    </row>
    <row r="352" spans="1:5" ht="12.75" customHeight="1" x14ac:dyDescent="0.25">
      <c r="A352" s="79" t="s">
        <v>54</v>
      </c>
      <c r="B352" s="79" t="s">
        <v>55</v>
      </c>
      <c r="C352" s="79" t="s">
        <v>56</v>
      </c>
      <c r="D352" s="81" t="s">
        <v>57</v>
      </c>
      <c r="E352" s="82"/>
    </row>
    <row r="353" spans="1:5" ht="12.75" customHeight="1" x14ac:dyDescent="0.25">
      <c r="A353" s="80"/>
      <c r="B353" s="80"/>
      <c r="C353" s="80"/>
      <c r="D353" s="5" t="s">
        <v>58</v>
      </c>
      <c r="E353" s="6" t="s">
        <v>56</v>
      </c>
    </row>
    <row r="354" spans="1:5" ht="12.75" customHeight="1" x14ac:dyDescent="0.25">
      <c r="A354" s="16" t="s">
        <v>657</v>
      </c>
      <c r="B354" s="16" t="s">
        <v>658</v>
      </c>
      <c r="C354" s="16" t="s">
        <v>658</v>
      </c>
      <c r="D354" s="17"/>
      <c r="E354" s="17"/>
    </row>
    <row r="355" spans="1:5" ht="12.75" customHeight="1" x14ac:dyDescent="0.25">
      <c r="A355" s="10"/>
      <c r="B355" s="10"/>
      <c r="C355" s="10" t="s">
        <v>659</v>
      </c>
      <c r="D355" s="14" t="s">
        <v>660</v>
      </c>
      <c r="E355" s="14"/>
    </row>
    <row r="356" spans="1:5" ht="12.75" customHeight="1" x14ac:dyDescent="0.25">
      <c r="A356" s="10"/>
      <c r="B356" s="10"/>
      <c r="C356" s="10" t="s">
        <v>661</v>
      </c>
      <c r="D356" s="14" t="s">
        <v>662</v>
      </c>
      <c r="E356" s="14" t="s">
        <v>194</v>
      </c>
    </row>
    <row r="357" spans="1:5" ht="12.75" customHeight="1" x14ac:dyDescent="0.25">
      <c r="A357" s="10"/>
      <c r="B357" s="10"/>
      <c r="C357" s="10" t="s">
        <v>663</v>
      </c>
      <c r="D357" s="14" t="s">
        <v>664</v>
      </c>
      <c r="E357" s="14"/>
    </row>
    <row r="358" spans="1:5" ht="12.75" customHeight="1" x14ac:dyDescent="0.25">
      <c r="A358" s="10"/>
      <c r="B358" s="10"/>
      <c r="C358" s="10" t="s">
        <v>665</v>
      </c>
      <c r="D358" s="14" t="s">
        <v>666</v>
      </c>
      <c r="E358" s="14" t="s">
        <v>194</v>
      </c>
    </row>
    <row r="359" spans="1:5" ht="12.75" customHeight="1" x14ac:dyDescent="0.25">
      <c r="A359" s="10"/>
      <c r="B359" s="10"/>
      <c r="C359" s="10" t="s">
        <v>667</v>
      </c>
      <c r="D359" s="14" t="s">
        <v>668</v>
      </c>
      <c r="E359" s="14"/>
    </row>
    <row r="360" spans="1:5" ht="12.75" customHeight="1" x14ac:dyDescent="0.25">
      <c r="A360" s="10"/>
      <c r="B360" s="10"/>
      <c r="C360" s="10" t="s">
        <v>669</v>
      </c>
      <c r="D360" s="14" t="s">
        <v>670</v>
      </c>
      <c r="E360" s="10" t="s">
        <v>92</v>
      </c>
    </row>
    <row r="361" spans="1:5" ht="12.75" customHeight="1" x14ac:dyDescent="0.25">
      <c r="A361" s="10"/>
      <c r="B361" s="10"/>
      <c r="C361" s="10" t="s">
        <v>671</v>
      </c>
      <c r="D361" s="14" t="s">
        <v>672</v>
      </c>
      <c r="E361" s="14"/>
    </row>
    <row r="362" spans="1:5" ht="12.75" customHeight="1" x14ac:dyDescent="0.25">
      <c r="A362" s="10"/>
      <c r="B362" s="10"/>
      <c r="C362" s="10" t="s">
        <v>673</v>
      </c>
      <c r="D362" s="14" t="s">
        <v>674</v>
      </c>
      <c r="E362" s="14" t="s">
        <v>89</v>
      </c>
    </row>
    <row r="363" spans="1:5" ht="12.75" customHeight="1" x14ac:dyDescent="0.25">
      <c r="A363" s="10"/>
      <c r="B363" s="10"/>
      <c r="C363" s="10" t="s">
        <v>675</v>
      </c>
      <c r="D363" s="14" t="s">
        <v>676</v>
      </c>
      <c r="E363" s="14" t="s">
        <v>89</v>
      </c>
    </row>
    <row r="364" spans="1:5" ht="12.75" customHeight="1" x14ac:dyDescent="0.25">
      <c r="A364" s="10"/>
      <c r="B364" s="10"/>
      <c r="C364" s="10" t="s">
        <v>677</v>
      </c>
      <c r="D364" s="14" t="s">
        <v>678</v>
      </c>
      <c r="E364" s="14" t="s">
        <v>194</v>
      </c>
    </row>
    <row r="365" spans="1:5" ht="12.75" customHeight="1" x14ac:dyDescent="0.25">
      <c r="A365" s="10"/>
      <c r="B365" s="10"/>
      <c r="C365" s="10" t="s">
        <v>679</v>
      </c>
      <c r="D365" s="14" t="s">
        <v>680</v>
      </c>
      <c r="E365" s="14"/>
    </row>
    <row r="366" spans="1:5" ht="12.75" customHeight="1" x14ac:dyDescent="0.25">
      <c r="A366" s="10"/>
      <c r="B366" s="10"/>
      <c r="C366" s="10" t="s">
        <v>681</v>
      </c>
      <c r="D366" s="14" t="s">
        <v>682</v>
      </c>
      <c r="E366" s="14"/>
    </row>
    <row r="367" spans="1:5" ht="12.75" customHeight="1" x14ac:dyDescent="0.25">
      <c r="A367" s="10"/>
      <c r="B367" s="10"/>
      <c r="C367" s="10" t="s">
        <v>683</v>
      </c>
      <c r="D367" s="14" t="s">
        <v>684</v>
      </c>
      <c r="E367" s="14" t="s">
        <v>89</v>
      </c>
    </row>
    <row r="368" spans="1:5" ht="12.75" customHeight="1" x14ac:dyDescent="0.25">
      <c r="A368" s="10"/>
      <c r="B368" s="10"/>
      <c r="C368" s="10" t="s">
        <v>685</v>
      </c>
      <c r="D368" s="14" t="s">
        <v>686</v>
      </c>
      <c r="E368" s="14"/>
    </row>
    <row r="369" spans="1:5" ht="12.75" customHeight="1" x14ac:dyDescent="0.25">
      <c r="A369" s="10"/>
      <c r="B369" s="10"/>
      <c r="C369" s="10" t="s">
        <v>687</v>
      </c>
      <c r="D369" s="14" t="s">
        <v>688</v>
      </c>
      <c r="E369" s="14"/>
    </row>
    <row r="370" spans="1:5" ht="12.75" customHeight="1" x14ac:dyDescent="0.25">
      <c r="A370" s="10"/>
      <c r="B370" s="10"/>
      <c r="C370" s="10" t="s">
        <v>689</v>
      </c>
      <c r="D370" s="14" t="s">
        <v>690</v>
      </c>
      <c r="E370" s="14" t="s">
        <v>89</v>
      </c>
    </row>
    <row r="371" spans="1:5" ht="12.75" customHeight="1" x14ac:dyDescent="0.25">
      <c r="A371" s="10"/>
      <c r="B371" s="10"/>
      <c r="C371" s="10" t="s">
        <v>691</v>
      </c>
      <c r="D371" s="14" t="s">
        <v>692</v>
      </c>
      <c r="E371" s="14"/>
    </row>
    <row r="372" spans="1:5" ht="12.75" customHeight="1" x14ac:dyDescent="0.25">
      <c r="A372" s="10"/>
      <c r="B372" s="10"/>
      <c r="C372" s="10" t="s">
        <v>693</v>
      </c>
      <c r="D372" s="14" t="s">
        <v>694</v>
      </c>
      <c r="E372" s="14"/>
    </row>
    <row r="373" spans="1:5" ht="12.75" customHeight="1" x14ac:dyDescent="0.25">
      <c r="A373" s="10"/>
      <c r="B373" s="10"/>
      <c r="C373" s="10" t="s">
        <v>695</v>
      </c>
      <c r="D373" s="14" t="s">
        <v>696</v>
      </c>
      <c r="E373" s="14" t="s">
        <v>89</v>
      </c>
    </row>
    <row r="374" spans="1:5" ht="12.75" customHeight="1" x14ac:dyDescent="0.25">
      <c r="A374" s="10"/>
      <c r="B374" s="10"/>
      <c r="C374" s="10" t="s">
        <v>697</v>
      </c>
      <c r="D374" s="14" t="s">
        <v>698</v>
      </c>
      <c r="E374" s="14"/>
    </row>
    <row r="375" spans="1:5" ht="12.75" customHeight="1" x14ac:dyDescent="0.25">
      <c r="A375" s="10"/>
      <c r="B375" s="10"/>
      <c r="C375" s="10" t="s">
        <v>699</v>
      </c>
      <c r="D375" s="14" t="s">
        <v>700</v>
      </c>
      <c r="E375" s="14" t="s">
        <v>63</v>
      </c>
    </row>
    <row r="376" spans="1:5" ht="12.75" customHeight="1" x14ac:dyDescent="0.25">
      <c r="A376" s="10"/>
      <c r="B376" s="10"/>
      <c r="C376" s="10" t="s">
        <v>701</v>
      </c>
      <c r="D376" s="14" t="s">
        <v>702</v>
      </c>
      <c r="E376" s="14"/>
    </row>
    <row r="377" spans="1:5" ht="12.75" customHeight="1" x14ac:dyDescent="0.25">
      <c r="A377" s="10"/>
      <c r="B377" s="10"/>
      <c r="C377" s="10" t="s">
        <v>703</v>
      </c>
      <c r="D377" s="14" t="s">
        <v>704</v>
      </c>
      <c r="E377" s="14"/>
    </row>
    <row r="378" spans="1:5" ht="12.75" customHeight="1" x14ac:dyDescent="0.25">
      <c r="A378" s="10"/>
      <c r="B378" s="10"/>
      <c r="C378" s="10" t="s">
        <v>705</v>
      </c>
      <c r="D378" s="14" t="s">
        <v>706</v>
      </c>
      <c r="E378" s="10" t="s">
        <v>63</v>
      </c>
    </row>
    <row r="379" spans="1:5" ht="12.75" customHeight="1" x14ac:dyDescent="0.25">
      <c r="A379" s="10"/>
      <c r="B379" s="10"/>
      <c r="C379" s="10" t="s">
        <v>707</v>
      </c>
      <c r="D379" s="14" t="s">
        <v>708</v>
      </c>
      <c r="E379" s="14"/>
    </row>
    <row r="380" spans="1:5" ht="12.75" customHeight="1" x14ac:dyDescent="0.25">
      <c r="A380" s="10"/>
      <c r="B380" s="10"/>
      <c r="C380" s="10" t="s">
        <v>709</v>
      </c>
      <c r="D380" s="14" t="s">
        <v>710</v>
      </c>
      <c r="E380" s="14"/>
    </row>
    <row r="381" spans="1:5" ht="12.75" customHeight="1" x14ac:dyDescent="0.25">
      <c r="A381" s="10"/>
      <c r="B381" s="10"/>
      <c r="C381" s="10" t="s">
        <v>711</v>
      </c>
      <c r="D381" s="14" t="s">
        <v>712</v>
      </c>
      <c r="E381" s="14" t="s">
        <v>89</v>
      </c>
    </row>
    <row r="382" spans="1:5" ht="12.75" customHeight="1" x14ac:dyDescent="0.25">
      <c r="A382" s="10"/>
      <c r="B382" s="10"/>
      <c r="C382" s="10" t="s">
        <v>713</v>
      </c>
      <c r="D382" s="14" t="s">
        <v>714</v>
      </c>
      <c r="E382" s="14"/>
    </row>
    <row r="383" spans="1:5" ht="12.75" customHeight="1" x14ac:dyDescent="0.25">
      <c r="A383" s="10"/>
      <c r="B383" s="10"/>
      <c r="C383" s="10" t="s">
        <v>715</v>
      </c>
      <c r="D383" s="14" t="s">
        <v>716</v>
      </c>
      <c r="E383" s="14"/>
    </row>
    <row r="384" spans="1:5" ht="12.75" customHeight="1" x14ac:dyDescent="0.25">
      <c r="A384" s="10"/>
      <c r="B384" s="10"/>
      <c r="C384" s="10" t="s">
        <v>717</v>
      </c>
      <c r="D384" s="14" t="s">
        <v>718</v>
      </c>
      <c r="E384" s="14" t="s">
        <v>63</v>
      </c>
    </row>
    <row r="385" spans="1:5" ht="12.75" customHeight="1" x14ac:dyDescent="0.25">
      <c r="A385" s="10"/>
      <c r="B385" s="10"/>
      <c r="C385" s="10" t="s">
        <v>719</v>
      </c>
      <c r="D385" s="14" t="s">
        <v>720</v>
      </c>
      <c r="E385" s="14" t="s">
        <v>194</v>
      </c>
    </row>
    <row r="386" spans="1:5" ht="12.75" customHeight="1" x14ac:dyDescent="0.25">
      <c r="A386" s="10"/>
      <c r="B386" s="10"/>
      <c r="C386" s="10" t="s">
        <v>721</v>
      </c>
      <c r="D386" s="14" t="s">
        <v>722</v>
      </c>
      <c r="E386" s="14"/>
    </row>
    <row r="387" spans="1:5" ht="12.75" customHeight="1" x14ac:dyDescent="0.25">
      <c r="A387" s="10"/>
      <c r="B387" s="10"/>
      <c r="C387" s="10" t="s">
        <v>723</v>
      </c>
      <c r="D387" s="14" t="s">
        <v>724</v>
      </c>
      <c r="E387" s="14"/>
    </row>
    <row r="388" spans="1:5" ht="12.75" customHeight="1" x14ac:dyDescent="0.25">
      <c r="A388" s="10"/>
      <c r="B388" s="10"/>
      <c r="C388" s="10" t="s">
        <v>725</v>
      </c>
      <c r="D388" s="14" t="s">
        <v>726</v>
      </c>
      <c r="E388" s="14" t="s">
        <v>63</v>
      </c>
    </row>
    <row r="389" spans="1:5" ht="12.75" customHeight="1" x14ac:dyDescent="0.25">
      <c r="A389" s="10"/>
      <c r="B389" s="10"/>
      <c r="C389" s="10" t="s">
        <v>727</v>
      </c>
      <c r="D389" s="14" t="s">
        <v>728</v>
      </c>
      <c r="E389" s="14" t="s">
        <v>63</v>
      </c>
    </row>
    <row r="390" spans="1:5" ht="12.75" customHeight="1" x14ac:dyDescent="0.25">
      <c r="A390" s="10"/>
      <c r="B390" s="10"/>
      <c r="C390" s="10" t="s">
        <v>729</v>
      </c>
      <c r="D390" s="14" t="s">
        <v>730</v>
      </c>
      <c r="E390" s="14"/>
    </row>
    <row r="391" spans="1:5" ht="12.75" customHeight="1" x14ac:dyDescent="0.25">
      <c r="A391" s="10"/>
      <c r="B391" s="10"/>
      <c r="C391" s="10" t="s">
        <v>731</v>
      </c>
      <c r="D391" s="14" t="s">
        <v>732</v>
      </c>
      <c r="E391" s="14" t="s">
        <v>92</v>
      </c>
    </row>
    <row r="392" spans="1:5" ht="12.75" customHeight="1" x14ac:dyDescent="0.25">
      <c r="A392" s="10"/>
      <c r="B392" s="10"/>
      <c r="C392" s="10" t="s">
        <v>733</v>
      </c>
      <c r="D392" s="14" t="s">
        <v>734</v>
      </c>
      <c r="E392" s="14" t="s">
        <v>63</v>
      </c>
    </row>
    <row r="393" spans="1:5" ht="12.75" customHeight="1" x14ac:dyDescent="0.25">
      <c r="A393" s="10"/>
      <c r="B393" s="10"/>
      <c r="C393" s="10" t="s">
        <v>735</v>
      </c>
      <c r="D393" s="14" t="s">
        <v>736</v>
      </c>
      <c r="E393" s="14"/>
    </row>
    <row r="394" spans="1:5" ht="12.75" customHeight="1" x14ac:dyDescent="0.25">
      <c r="A394" s="10"/>
      <c r="B394" s="10"/>
      <c r="C394" s="10" t="s">
        <v>737</v>
      </c>
      <c r="D394" s="14" t="s">
        <v>738</v>
      </c>
      <c r="E394" s="14"/>
    </row>
    <row r="395" spans="1:5" ht="12.75" customHeight="1" x14ac:dyDescent="0.25">
      <c r="A395" s="10"/>
      <c r="B395" s="10"/>
      <c r="C395" s="10" t="s">
        <v>739</v>
      </c>
      <c r="D395" s="14" t="s">
        <v>740</v>
      </c>
      <c r="E395" s="14"/>
    </row>
    <row r="396" spans="1:5" ht="12.75" customHeight="1" x14ac:dyDescent="0.25">
      <c r="A396" s="10"/>
      <c r="B396" s="10"/>
      <c r="C396" s="10" t="s">
        <v>741</v>
      </c>
      <c r="D396" s="14" t="s">
        <v>742</v>
      </c>
      <c r="E396" s="14"/>
    </row>
    <row r="397" spans="1:5" ht="12.75" customHeight="1" x14ac:dyDescent="0.25">
      <c r="A397" s="10"/>
      <c r="B397" s="10"/>
      <c r="C397" s="10" t="s">
        <v>743</v>
      </c>
      <c r="D397" s="14" t="s">
        <v>744</v>
      </c>
      <c r="E397" s="14"/>
    </row>
    <row r="398" spans="1:5" ht="12.75" customHeight="1" x14ac:dyDescent="0.25">
      <c r="A398" s="10"/>
      <c r="B398" s="10"/>
      <c r="C398" s="10" t="s">
        <v>745</v>
      </c>
      <c r="D398" s="14" t="s">
        <v>746</v>
      </c>
      <c r="E398" s="14" t="s">
        <v>63</v>
      </c>
    </row>
    <row r="399" spans="1:5" ht="12.75" customHeight="1" x14ac:dyDescent="0.25">
      <c r="A399" s="10"/>
      <c r="B399" s="10"/>
      <c r="C399" s="10" t="s">
        <v>747</v>
      </c>
      <c r="D399" s="14" t="s">
        <v>748</v>
      </c>
      <c r="E399" s="14" t="s">
        <v>63</v>
      </c>
    </row>
    <row r="400" spans="1:5" ht="12.75" customHeight="1" x14ac:dyDescent="0.25">
      <c r="A400" s="10"/>
      <c r="B400" s="10"/>
      <c r="C400" s="10" t="s">
        <v>749</v>
      </c>
      <c r="D400" s="14" t="s">
        <v>750</v>
      </c>
      <c r="E400" s="14" t="s">
        <v>63</v>
      </c>
    </row>
    <row r="401" spans="1:5" ht="12.75" customHeight="1" x14ac:dyDescent="0.25">
      <c r="A401" s="10"/>
      <c r="B401" s="10"/>
      <c r="C401" s="10" t="s">
        <v>751</v>
      </c>
      <c r="D401" s="14" t="s">
        <v>752</v>
      </c>
      <c r="E401" s="14"/>
    </row>
    <row r="402" spans="1:5" ht="12.75" customHeight="1" x14ac:dyDescent="0.25">
      <c r="A402" s="10"/>
      <c r="B402" s="10"/>
      <c r="C402" s="10" t="s">
        <v>753</v>
      </c>
      <c r="D402" s="14" t="s">
        <v>754</v>
      </c>
      <c r="E402" s="14" t="s">
        <v>92</v>
      </c>
    </row>
    <row r="403" spans="1:5" ht="12.75" customHeight="1" x14ac:dyDescent="0.25">
      <c r="A403" s="10"/>
      <c r="B403" s="10"/>
      <c r="C403" s="10" t="s">
        <v>755</v>
      </c>
      <c r="D403" s="14" t="s">
        <v>756</v>
      </c>
      <c r="E403" s="14"/>
    </row>
    <row r="404" spans="1:5" ht="12.75" customHeight="1" x14ac:dyDescent="0.25">
      <c r="A404" s="10"/>
      <c r="B404" s="10"/>
      <c r="C404" s="10" t="s">
        <v>757</v>
      </c>
      <c r="D404" s="14" t="s">
        <v>758</v>
      </c>
      <c r="E404" s="14" t="s">
        <v>194</v>
      </c>
    </row>
    <row r="405" spans="1:5" ht="12.75" customHeight="1" x14ac:dyDescent="0.25">
      <c r="A405" s="10"/>
      <c r="B405" s="10"/>
      <c r="C405" s="10" t="s">
        <v>759</v>
      </c>
      <c r="D405" s="14" t="s">
        <v>760</v>
      </c>
      <c r="E405" s="15"/>
    </row>
    <row r="406" spans="1:5" ht="12.75" customHeight="1" x14ac:dyDescent="0.25">
      <c r="A406" s="10"/>
      <c r="B406" s="10"/>
      <c r="C406" s="10" t="s">
        <v>761</v>
      </c>
      <c r="D406" s="14" t="s">
        <v>762</v>
      </c>
      <c r="E406" s="14"/>
    </row>
    <row r="407" spans="1:5" ht="12.75" customHeight="1" x14ac:dyDescent="0.25">
      <c r="A407" s="10"/>
      <c r="B407" s="10"/>
      <c r="C407" s="10" t="s">
        <v>763</v>
      </c>
      <c r="D407" s="14" t="s">
        <v>764</v>
      </c>
      <c r="E407" s="14" t="s">
        <v>194</v>
      </c>
    </row>
    <row r="408" spans="1:5" ht="12.75" customHeight="1" x14ac:dyDescent="0.25">
      <c r="A408" s="10"/>
      <c r="B408" s="10"/>
      <c r="C408" s="10" t="s">
        <v>765</v>
      </c>
      <c r="D408" s="14" t="s">
        <v>766</v>
      </c>
      <c r="E408" s="14"/>
    </row>
    <row r="409" spans="1:5" ht="12.75" customHeight="1" x14ac:dyDescent="0.25">
      <c r="A409" s="10"/>
      <c r="B409" s="10"/>
      <c r="C409" s="10" t="s">
        <v>767</v>
      </c>
      <c r="D409" s="14" t="s">
        <v>768</v>
      </c>
      <c r="E409" s="14"/>
    </row>
    <row r="410" spans="1:5" ht="12.75" customHeight="1" x14ac:dyDescent="0.25">
      <c r="A410" s="10"/>
      <c r="B410" s="10"/>
      <c r="C410" s="10" t="s">
        <v>769</v>
      </c>
      <c r="D410" s="14" t="s">
        <v>770</v>
      </c>
      <c r="E410" s="14" t="s">
        <v>89</v>
      </c>
    </row>
    <row r="411" spans="1:5" ht="12.75" customHeight="1" x14ac:dyDescent="0.25">
      <c r="A411" s="10"/>
      <c r="B411" s="10"/>
      <c r="C411" s="10" t="s">
        <v>771</v>
      </c>
      <c r="D411" s="14" t="s">
        <v>772</v>
      </c>
      <c r="E411" s="14" t="s">
        <v>92</v>
      </c>
    </row>
    <row r="412" spans="1:5" ht="12.75" customHeight="1" x14ac:dyDescent="0.25">
      <c r="A412" s="10"/>
      <c r="B412" s="16" t="s">
        <v>773</v>
      </c>
      <c r="C412" s="16" t="s">
        <v>773</v>
      </c>
      <c r="D412" s="17"/>
      <c r="E412" s="17"/>
    </row>
    <row r="413" spans="1:5" ht="12.75" customHeight="1" x14ac:dyDescent="0.25">
      <c r="A413" s="10"/>
      <c r="B413" s="10"/>
      <c r="C413" s="10" t="s">
        <v>774</v>
      </c>
      <c r="D413" s="14" t="s">
        <v>775</v>
      </c>
      <c r="E413" s="14"/>
    </row>
    <row r="414" spans="1:5" ht="12.75" customHeight="1" x14ac:dyDescent="0.25">
      <c r="A414" s="10"/>
      <c r="B414" s="10"/>
      <c r="C414" s="10" t="s">
        <v>776</v>
      </c>
      <c r="D414" s="14" t="s">
        <v>777</v>
      </c>
      <c r="E414" s="14" t="s">
        <v>63</v>
      </c>
    </row>
    <row r="415" spans="1:5" ht="12.75" customHeight="1" x14ac:dyDescent="0.25">
      <c r="A415" s="10"/>
      <c r="B415" s="22"/>
      <c r="C415" s="10" t="s">
        <v>778</v>
      </c>
      <c r="D415" s="14" t="s">
        <v>779</v>
      </c>
      <c r="E415" s="15" t="s">
        <v>234</v>
      </c>
    </row>
    <row r="416" spans="1:5" ht="12.75" customHeight="1" x14ac:dyDescent="0.25">
      <c r="A416" s="10"/>
      <c r="B416" s="10"/>
      <c r="C416" s="10" t="s">
        <v>780</v>
      </c>
      <c r="D416" s="14" t="s">
        <v>781</v>
      </c>
      <c r="E416" s="14" t="s">
        <v>63</v>
      </c>
    </row>
    <row r="417" spans="1:5" ht="12.75" customHeight="1" x14ac:dyDescent="0.25">
      <c r="A417" s="10"/>
      <c r="B417" s="10"/>
      <c r="C417" s="10" t="s">
        <v>782</v>
      </c>
      <c r="D417" s="14" t="s">
        <v>783</v>
      </c>
      <c r="E417" s="14" t="s">
        <v>194</v>
      </c>
    </row>
    <row r="418" spans="1:5" ht="12.75" customHeight="1" x14ac:dyDescent="0.25">
      <c r="A418" s="10"/>
      <c r="B418" s="10"/>
      <c r="C418" s="10" t="s">
        <v>784</v>
      </c>
      <c r="D418" s="14" t="s">
        <v>785</v>
      </c>
      <c r="E418" s="14"/>
    </row>
    <row r="419" spans="1:5" ht="12.75" customHeight="1" x14ac:dyDescent="0.25">
      <c r="A419" s="10"/>
      <c r="B419" s="16" t="s">
        <v>786</v>
      </c>
      <c r="C419" s="16" t="s">
        <v>786</v>
      </c>
      <c r="D419" s="17"/>
      <c r="E419" s="17"/>
    </row>
    <row r="420" spans="1:5" s="4" customFormat="1" ht="12.75" customHeight="1" x14ac:dyDescent="0.25">
      <c r="A420" s="10"/>
      <c r="B420" s="10"/>
      <c r="C420" s="10" t="s">
        <v>787</v>
      </c>
      <c r="D420" s="14" t="s">
        <v>788</v>
      </c>
      <c r="E420" s="14"/>
    </row>
    <row r="421" spans="1:5" s="4" customFormat="1" ht="12.75" customHeight="1" x14ac:dyDescent="0.25">
      <c r="A421" s="18"/>
      <c r="B421" s="18"/>
      <c r="C421" s="18" t="s">
        <v>789</v>
      </c>
      <c r="D421" s="19" t="s">
        <v>790</v>
      </c>
      <c r="E421" s="19"/>
    </row>
    <row r="422" spans="1:5" ht="12.75" customHeight="1" x14ac:dyDescent="0.25">
      <c r="A422" s="2"/>
      <c r="B422" s="2"/>
      <c r="C422" s="2"/>
      <c r="D422" s="1"/>
      <c r="E422" s="1"/>
    </row>
    <row r="423" spans="1:5" ht="12.75" customHeight="1" x14ac:dyDescent="0.25">
      <c r="A423" s="79" t="s">
        <v>54</v>
      </c>
      <c r="B423" s="79" t="s">
        <v>55</v>
      </c>
      <c r="C423" s="79" t="s">
        <v>56</v>
      </c>
      <c r="D423" s="81" t="s">
        <v>57</v>
      </c>
      <c r="E423" s="82"/>
    </row>
    <row r="424" spans="1:5" ht="12.75" customHeight="1" x14ac:dyDescent="0.25">
      <c r="A424" s="80"/>
      <c r="B424" s="80"/>
      <c r="C424" s="80"/>
      <c r="D424" s="5" t="s">
        <v>58</v>
      </c>
      <c r="E424" s="6" t="s">
        <v>56</v>
      </c>
    </row>
    <row r="425" spans="1:5" ht="12.75" customHeight="1" x14ac:dyDescent="0.25">
      <c r="A425" s="16" t="s">
        <v>791</v>
      </c>
      <c r="B425" s="16" t="s">
        <v>792</v>
      </c>
      <c r="C425" s="16" t="s">
        <v>793</v>
      </c>
      <c r="D425" s="17"/>
      <c r="E425" s="17"/>
    </row>
    <row r="426" spans="1:5" ht="12.75" customHeight="1" x14ac:dyDescent="0.25">
      <c r="A426" s="10"/>
      <c r="B426" s="10"/>
      <c r="C426" s="10" t="s">
        <v>794</v>
      </c>
      <c r="D426" s="14" t="s">
        <v>795</v>
      </c>
      <c r="E426" s="14" t="s">
        <v>194</v>
      </c>
    </row>
    <row r="427" spans="1:5" ht="12.75" customHeight="1" x14ac:dyDescent="0.25">
      <c r="A427" s="10"/>
      <c r="B427" s="10"/>
      <c r="C427" s="10" t="s">
        <v>796</v>
      </c>
      <c r="D427" s="14" t="s">
        <v>797</v>
      </c>
      <c r="E427" s="14"/>
    </row>
    <row r="428" spans="1:5" ht="12.75" customHeight="1" x14ac:dyDescent="0.25">
      <c r="A428" s="10"/>
      <c r="B428" s="10"/>
      <c r="C428" s="10" t="s">
        <v>798</v>
      </c>
      <c r="D428" s="14" t="s">
        <v>799</v>
      </c>
      <c r="E428" s="14"/>
    </row>
    <row r="429" spans="1:5" ht="12.75" customHeight="1" x14ac:dyDescent="0.25">
      <c r="A429" s="10"/>
      <c r="B429" s="10"/>
      <c r="C429" s="10" t="s">
        <v>800</v>
      </c>
      <c r="D429" s="14" t="s">
        <v>801</v>
      </c>
      <c r="E429" s="14"/>
    </row>
    <row r="430" spans="1:5" ht="12.75" customHeight="1" x14ac:dyDescent="0.25">
      <c r="A430" s="10"/>
      <c r="B430" s="10"/>
      <c r="C430" s="10" t="s">
        <v>802</v>
      </c>
      <c r="D430" s="14" t="s">
        <v>803</v>
      </c>
      <c r="E430" s="14" t="s">
        <v>89</v>
      </c>
    </row>
    <row r="431" spans="1:5" ht="12.75" customHeight="1" x14ac:dyDescent="0.25">
      <c r="A431" s="10"/>
      <c r="B431" s="10"/>
      <c r="C431" s="10" t="s">
        <v>804</v>
      </c>
      <c r="D431" s="14" t="s">
        <v>805</v>
      </c>
      <c r="E431" s="14" t="s">
        <v>194</v>
      </c>
    </row>
    <row r="432" spans="1:5" ht="12.75" customHeight="1" x14ac:dyDescent="0.25">
      <c r="A432" s="10"/>
      <c r="B432" s="10"/>
      <c r="C432" s="10" t="s">
        <v>806</v>
      </c>
      <c r="D432" s="14" t="s">
        <v>807</v>
      </c>
      <c r="E432" s="14" t="s">
        <v>89</v>
      </c>
    </row>
    <row r="433" spans="1:5" ht="12.75" customHeight="1" x14ac:dyDescent="0.25">
      <c r="A433" s="10"/>
      <c r="B433" s="10"/>
      <c r="C433" s="10" t="s">
        <v>808</v>
      </c>
      <c r="D433" s="14" t="s">
        <v>809</v>
      </c>
      <c r="E433" s="14"/>
    </row>
    <row r="434" spans="1:5" ht="12.75" customHeight="1" x14ac:dyDescent="0.25">
      <c r="A434" s="10"/>
      <c r="B434" s="10"/>
      <c r="C434" s="10" t="s">
        <v>810</v>
      </c>
      <c r="D434" s="14" t="s">
        <v>811</v>
      </c>
      <c r="E434" s="14"/>
    </row>
    <row r="435" spans="1:5" ht="12.75" customHeight="1" x14ac:dyDescent="0.25">
      <c r="A435" s="10"/>
      <c r="B435" s="10"/>
      <c r="C435" s="10" t="s">
        <v>812</v>
      </c>
      <c r="D435" s="14" t="s">
        <v>813</v>
      </c>
      <c r="E435" s="14"/>
    </row>
    <row r="436" spans="1:5" ht="12.75" customHeight="1" x14ac:dyDescent="0.25">
      <c r="A436" s="10"/>
      <c r="B436" s="10"/>
      <c r="C436" s="10" t="s">
        <v>814</v>
      </c>
      <c r="D436" s="14" t="s">
        <v>815</v>
      </c>
      <c r="E436" s="14" t="s">
        <v>89</v>
      </c>
    </row>
    <row r="437" spans="1:5" ht="12.75" customHeight="1" x14ac:dyDescent="0.25">
      <c r="A437" s="10"/>
      <c r="B437" s="10"/>
      <c r="C437" s="10" t="s">
        <v>816</v>
      </c>
      <c r="D437" s="14" t="s">
        <v>817</v>
      </c>
      <c r="E437" s="14" t="s">
        <v>89</v>
      </c>
    </row>
    <row r="438" spans="1:5" ht="12.75" customHeight="1" x14ac:dyDescent="0.25">
      <c r="A438" s="10"/>
      <c r="B438" s="10"/>
      <c r="C438" s="10" t="s">
        <v>818</v>
      </c>
      <c r="D438" s="14" t="s">
        <v>819</v>
      </c>
      <c r="E438" s="14" t="s">
        <v>63</v>
      </c>
    </row>
    <row r="439" spans="1:5" ht="12.75" customHeight="1" x14ac:dyDescent="0.25">
      <c r="A439" s="10"/>
      <c r="B439" s="10"/>
      <c r="C439" s="10" t="s">
        <v>820</v>
      </c>
      <c r="D439" s="14" t="s">
        <v>821</v>
      </c>
      <c r="E439" s="14"/>
    </row>
    <row r="440" spans="1:5" ht="12.75" customHeight="1" x14ac:dyDescent="0.25">
      <c r="A440" s="10"/>
      <c r="B440" s="10"/>
      <c r="C440" s="10" t="s">
        <v>822</v>
      </c>
      <c r="D440" s="14" t="s">
        <v>823</v>
      </c>
      <c r="E440" s="14"/>
    </row>
    <row r="441" spans="1:5" ht="12.75" customHeight="1" x14ac:dyDescent="0.25">
      <c r="A441" s="10"/>
      <c r="B441" s="10"/>
      <c r="C441" s="10" t="s">
        <v>824</v>
      </c>
      <c r="D441" s="14" t="s">
        <v>825</v>
      </c>
      <c r="E441" s="14" t="s">
        <v>194</v>
      </c>
    </row>
    <row r="442" spans="1:5" ht="12.75" customHeight="1" x14ac:dyDescent="0.25">
      <c r="A442" s="10"/>
      <c r="B442" s="10"/>
      <c r="C442" s="10" t="s">
        <v>826</v>
      </c>
      <c r="D442" s="14" t="s">
        <v>827</v>
      </c>
      <c r="E442" s="14" t="s">
        <v>89</v>
      </c>
    </row>
    <row r="443" spans="1:5" ht="12.75" customHeight="1" x14ac:dyDescent="0.25">
      <c r="A443" s="10"/>
      <c r="B443" s="10"/>
      <c r="C443" s="10" t="s">
        <v>828</v>
      </c>
      <c r="D443" s="14" t="s">
        <v>829</v>
      </c>
      <c r="E443" s="14" t="s">
        <v>89</v>
      </c>
    </row>
    <row r="444" spans="1:5" ht="12.75" customHeight="1" x14ac:dyDescent="0.25">
      <c r="A444" s="10"/>
      <c r="B444" s="10"/>
      <c r="C444" s="10" t="s">
        <v>830</v>
      </c>
      <c r="D444" s="14" t="s">
        <v>831</v>
      </c>
      <c r="E444" s="14"/>
    </row>
    <row r="445" spans="1:5" ht="12.75" customHeight="1" x14ac:dyDescent="0.25">
      <c r="A445" s="10"/>
      <c r="B445" s="10"/>
      <c r="C445" s="10" t="s">
        <v>832</v>
      </c>
      <c r="D445" s="14" t="s">
        <v>833</v>
      </c>
      <c r="E445" s="14"/>
    </row>
    <row r="446" spans="1:5" ht="12.75" customHeight="1" x14ac:dyDescent="0.25">
      <c r="A446" s="10"/>
      <c r="B446" s="10"/>
      <c r="C446" s="10" t="s">
        <v>834</v>
      </c>
      <c r="D446" s="14" t="s">
        <v>835</v>
      </c>
      <c r="E446" s="14"/>
    </row>
    <row r="447" spans="1:5" ht="12.75" customHeight="1" x14ac:dyDescent="0.25">
      <c r="A447" s="10"/>
      <c r="B447" s="10"/>
      <c r="C447" s="10" t="s">
        <v>836</v>
      </c>
      <c r="D447" s="14" t="s">
        <v>837</v>
      </c>
      <c r="E447" s="14"/>
    </row>
    <row r="448" spans="1:5" ht="12.75" customHeight="1" x14ac:dyDescent="0.25">
      <c r="A448" s="10"/>
      <c r="B448" s="10"/>
      <c r="C448" s="10" t="s">
        <v>838</v>
      </c>
      <c r="D448" s="14" t="s">
        <v>839</v>
      </c>
      <c r="E448" s="14" t="s">
        <v>194</v>
      </c>
    </row>
    <row r="449" spans="1:5" ht="12.75" customHeight="1" x14ac:dyDescent="0.25">
      <c r="A449" s="10"/>
      <c r="B449" s="10"/>
      <c r="C449" s="10" t="s">
        <v>840</v>
      </c>
      <c r="D449" s="14" t="s">
        <v>841</v>
      </c>
      <c r="E449" s="14"/>
    </row>
    <row r="450" spans="1:5" ht="12.75" customHeight="1" x14ac:dyDescent="0.25">
      <c r="A450" s="10"/>
      <c r="B450" s="10"/>
      <c r="C450" s="16" t="s">
        <v>842</v>
      </c>
      <c r="D450" s="17"/>
      <c r="E450" s="17"/>
    </row>
    <row r="451" spans="1:5" ht="12.75" customHeight="1" x14ac:dyDescent="0.25">
      <c r="A451" s="10"/>
      <c r="B451" s="10"/>
      <c r="C451" s="10" t="s">
        <v>843</v>
      </c>
      <c r="D451" s="14" t="s">
        <v>844</v>
      </c>
      <c r="E451" s="14"/>
    </row>
    <row r="452" spans="1:5" ht="12.75" customHeight="1" x14ac:dyDescent="0.25">
      <c r="A452" s="10"/>
      <c r="B452" s="10"/>
      <c r="C452" s="10" t="s">
        <v>845</v>
      </c>
      <c r="D452" s="14" t="s">
        <v>846</v>
      </c>
      <c r="E452" s="14"/>
    </row>
    <row r="453" spans="1:5" ht="12.75" customHeight="1" x14ac:dyDescent="0.25">
      <c r="A453" s="10"/>
      <c r="B453" s="10"/>
      <c r="C453" s="10" t="s">
        <v>847</v>
      </c>
      <c r="D453" s="14" t="s">
        <v>848</v>
      </c>
      <c r="E453" s="14"/>
    </row>
    <row r="454" spans="1:5" ht="12.75" customHeight="1" x14ac:dyDescent="0.25">
      <c r="A454" s="10"/>
      <c r="B454" s="10"/>
      <c r="C454" s="16" t="s">
        <v>849</v>
      </c>
      <c r="D454" s="17"/>
      <c r="E454" s="17"/>
    </row>
    <row r="455" spans="1:5" ht="12.75" customHeight="1" x14ac:dyDescent="0.25">
      <c r="A455" s="10"/>
      <c r="B455" s="10"/>
      <c r="C455" s="10" t="s">
        <v>850</v>
      </c>
      <c r="D455" s="14" t="s">
        <v>851</v>
      </c>
      <c r="E455" s="14"/>
    </row>
    <row r="456" spans="1:5" ht="12.75" customHeight="1" x14ac:dyDescent="0.25">
      <c r="A456" s="10"/>
      <c r="B456" s="10"/>
      <c r="C456" s="10" t="s">
        <v>852</v>
      </c>
      <c r="D456" s="14" t="s">
        <v>853</v>
      </c>
      <c r="E456" s="14"/>
    </row>
    <row r="457" spans="1:5" ht="12.75" customHeight="1" x14ac:dyDescent="0.25">
      <c r="A457" s="10"/>
      <c r="B457" s="10"/>
      <c r="C457" s="10" t="s">
        <v>854</v>
      </c>
      <c r="D457" s="14" t="s">
        <v>855</v>
      </c>
      <c r="E457" s="14"/>
    </row>
    <row r="458" spans="1:5" ht="12.75" customHeight="1" x14ac:dyDescent="0.25">
      <c r="A458" s="10"/>
      <c r="B458" s="16" t="s">
        <v>856</v>
      </c>
      <c r="C458" s="16" t="s">
        <v>856</v>
      </c>
      <c r="D458" s="17"/>
      <c r="E458" s="17"/>
    </row>
    <row r="459" spans="1:5" ht="12.75" customHeight="1" x14ac:dyDescent="0.25">
      <c r="A459" s="10"/>
      <c r="B459" s="10"/>
      <c r="C459" s="10" t="s">
        <v>857</v>
      </c>
      <c r="D459" s="14" t="s">
        <v>858</v>
      </c>
      <c r="E459" s="14"/>
    </row>
    <row r="460" spans="1:5" ht="12.75" customHeight="1" x14ac:dyDescent="0.25">
      <c r="A460" s="10"/>
      <c r="B460" s="10"/>
      <c r="C460" s="10" t="s">
        <v>859</v>
      </c>
      <c r="D460" s="14" t="s">
        <v>860</v>
      </c>
      <c r="E460" s="14"/>
    </row>
    <row r="461" spans="1:5" ht="12.75" customHeight="1" x14ac:dyDescent="0.25">
      <c r="A461" s="10"/>
      <c r="B461" s="10"/>
      <c r="C461" s="10" t="s">
        <v>861</v>
      </c>
      <c r="D461" s="14" t="s">
        <v>862</v>
      </c>
      <c r="E461" s="14"/>
    </row>
    <row r="462" spans="1:5" ht="12.75" customHeight="1" x14ac:dyDescent="0.25">
      <c r="A462" s="10"/>
      <c r="B462" s="10"/>
      <c r="C462" s="10" t="s">
        <v>863</v>
      </c>
      <c r="D462" s="14" t="s">
        <v>864</v>
      </c>
      <c r="E462" s="14"/>
    </row>
    <row r="463" spans="1:5" ht="12.75" customHeight="1" x14ac:dyDescent="0.25">
      <c r="A463" s="10"/>
      <c r="B463" s="10"/>
      <c r="C463" s="10" t="s">
        <v>865</v>
      </c>
      <c r="D463" s="14" t="s">
        <v>866</v>
      </c>
      <c r="E463" s="14"/>
    </row>
    <row r="464" spans="1:5" ht="12.75" customHeight="1" x14ac:dyDescent="0.25">
      <c r="A464" s="10"/>
      <c r="B464" s="10"/>
      <c r="C464" s="10" t="s">
        <v>867</v>
      </c>
      <c r="D464" s="14" t="s">
        <v>868</v>
      </c>
      <c r="E464" s="14" t="s">
        <v>92</v>
      </c>
    </row>
    <row r="465" spans="1:5" ht="12.75" customHeight="1" x14ac:dyDescent="0.25">
      <c r="A465" s="10"/>
      <c r="B465" s="10"/>
      <c r="C465" s="10" t="s">
        <v>869</v>
      </c>
      <c r="D465" s="14" t="s">
        <v>870</v>
      </c>
      <c r="E465" s="14"/>
    </row>
    <row r="466" spans="1:5" ht="12.75" customHeight="1" x14ac:dyDescent="0.25">
      <c r="A466" s="10"/>
      <c r="B466" s="10"/>
      <c r="C466" s="10" t="s">
        <v>871</v>
      </c>
      <c r="D466" s="14" t="s">
        <v>872</v>
      </c>
      <c r="E466" s="14" t="s">
        <v>92</v>
      </c>
    </row>
    <row r="467" spans="1:5" ht="12.75" customHeight="1" x14ac:dyDescent="0.25">
      <c r="A467" s="10"/>
      <c r="B467" s="10"/>
      <c r="C467" s="10" t="s">
        <v>873</v>
      </c>
      <c r="D467" s="14" t="s">
        <v>874</v>
      </c>
      <c r="E467" s="10"/>
    </row>
    <row r="468" spans="1:5" ht="12.75" customHeight="1" x14ac:dyDescent="0.25">
      <c r="A468" s="10"/>
      <c r="B468" s="10"/>
      <c r="C468" s="10" t="s">
        <v>875</v>
      </c>
      <c r="D468" s="14" t="s">
        <v>876</v>
      </c>
      <c r="E468" s="14"/>
    </row>
    <row r="469" spans="1:5" ht="12.75" customHeight="1" x14ac:dyDescent="0.25">
      <c r="A469" s="10"/>
      <c r="B469" s="10"/>
      <c r="C469" s="10" t="s">
        <v>877</v>
      </c>
      <c r="D469" s="14" t="s">
        <v>878</v>
      </c>
      <c r="E469" s="14"/>
    </row>
    <row r="470" spans="1:5" ht="12.75" customHeight="1" x14ac:dyDescent="0.25">
      <c r="A470" s="10"/>
      <c r="B470" s="10"/>
      <c r="C470" s="10" t="s">
        <v>879</v>
      </c>
      <c r="D470" s="14" t="s">
        <v>880</v>
      </c>
      <c r="E470" s="14" t="s">
        <v>92</v>
      </c>
    </row>
    <row r="471" spans="1:5" ht="12.75" customHeight="1" x14ac:dyDescent="0.25">
      <c r="A471" s="10"/>
      <c r="B471" s="10"/>
      <c r="C471" s="10" t="s">
        <v>881</v>
      </c>
      <c r="D471" s="14" t="s">
        <v>882</v>
      </c>
      <c r="E471" s="14"/>
    </row>
    <row r="472" spans="1:5" ht="12.75" customHeight="1" x14ac:dyDescent="0.25">
      <c r="A472" s="10"/>
      <c r="B472" s="10"/>
      <c r="C472" s="10" t="s">
        <v>883</v>
      </c>
      <c r="D472" s="14" t="s">
        <v>884</v>
      </c>
      <c r="E472" s="14"/>
    </row>
    <row r="473" spans="1:5" ht="12.75" customHeight="1" x14ac:dyDescent="0.25">
      <c r="A473" s="10"/>
      <c r="B473" s="10"/>
      <c r="C473" s="10" t="s">
        <v>885</v>
      </c>
      <c r="D473" s="14" t="s">
        <v>886</v>
      </c>
      <c r="E473" s="14"/>
    </row>
    <row r="474" spans="1:5" ht="12.75" customHeight="1" x14ac:dyDescent="0.25">
      <c r="A474" s="10"/>
      <c r="B474" s="16" t="s">
        <v>887</v>
      </c>
      <c r="C474" s="16" t="s">
        <v>888</v>
      </c>
      <c r="D474" s="17"/>
      <c r="E474" s="17"/>
    </row>
    <row r="475" spans="1:5" ht="12.75" customHeight="1" x14ac:dyDescent="0.25">
      <c r="A475" s="10"/>
      <c r="B475" s="10"/>
      <c r="C475" s="10" t="s">
        <v>889</v>
      </c>
      <c r="D475" s="14" t="s">
        <v>890</v>
      </c>
      <c r="E475" s="14" t="s">
        <v>92</v>
      </c>
    </row>
    <row r="476" spans="1:5" ht="12.75" customHeight="1" x14ac:dyDescent="0.25">
      <c r="A476" s="10"/>
      <c r="B476" s="10"/>
      <c r="C476" s="11" t="s">
        <v>891</v>
      </c>
      <c r="D476" s="12" t="s">
        <v>892</v>
      </c>
      <c r="E476" s="12"/>
    </row>
    <row r="477" spans="1:5" ht="12.75" customHeight="1" x14ac:dyDescent="0.25">
      <c r="A477" s="10"/>
      <c r="B477" s="10"/>
      <c r="C477" s="10" t="s">
        <v>893</v>
      </c>
      <c r="D477" s="14" t="s">
        <v>894</v>
      </c>
      <c r="E477" s="15" t="s">
        <v>310</v>
      </c>
    </row>
    <row r="478" spans="1:5" ht="12.75" customHeight="1" x14ac:dyDescent="0.25">
      <c r="A478" s="10"/>
      <c r="B478" s="10"/>
      <c r="C478" s="10" t="s">
        <v>895</v>
      </c>
      <c r="D478" s="14" t="s">
        <v>896</v>
      </c>
      <c r="E478" s="14"/>
    </row>
    <row r="479" spans="1:5" ht="12.75" customHeight="1" x14ac:dyDescent="0.25">
      <c r="A479" s="10"/>
      <c r="B479" s="10"/>
      <c r="C479" s="10" t="s">
        <v>897</v>
      </c>
      <c r="D479" s="14" t="s">
        <v>897</v>
      </c>
      <c r="E479" s="15" t="s">
        <v>310</v>
      </c>
    </row>
    <row r="480" spans="1:5" ht="12.75" customHeight="1" x14ac:dyDescent="0.25">
      <c r="A480" s="10"/>
      <c r="B480" s="10"/>
      <c r="C480" s="16" t="s">
        <v>887</v>
      </c>
      <c r="D480" s="17"/>
      <c r="E480" s="17"/>
    </row>
    <row r="481" spans="1:5" ht="12.75" customHeight="1" x14ac:dyDescent="0.25">
      <c r="A481" s="10"/>
      <c r="B481" s="10"/>
      <c r="C481" s="10" t="s">
        <v>898</v>
      </c>
      <c r="D481" s="14" t="s">
        <v>899</v>
      </c>
      <c r="E481" s="14" t="s">
        <v>63</v>
      </c>
    </row>
    <row r="482" spans="1:5" ht="12.75" customHeight="1" x14ac:dyDescent="0.25">
      <c r="A482" s="10"/>
      <c r="B482" s="10"/>
      <c r="C482" s="10" t="s">
        <v>900</v>
      </c>
      <c r="D482" s="14" t="s">
        <v>901</v>
      </c>
      <c r="E482" s="14" t="s">
        <v>63</v>
      </c>
    </row>
    <row r="483" spans="1:5" ht="12.75" customHeight="1" x14ac:dyDescent="0.25">
      <c r="A483" s="10"/>
      <c r="B483" s="16" t="s">
        <v>902</v>
      </c>
      <c r="C483" s="16" t="s">
        <v>903</v>
      </c>
      <c r="D483" s="17"/>
      <c r="E483" s="17"/>
    </row>
    <row r="484" spans="1:5" ht="12.75" customHeight="1" x14ac:dyDescent="0.25">
      <c r="A484" s="10"/>
      <c r="B484" s="10"/>
      <c r="C484" s="10" t="s">
        <v>904</v>
      </c>
      <c r="D484" s="14" t="s">
        <v>905</v>
      </c>
      <c r="E484" s="14"/>
    </row>
    <row r="485" spans="1:5" ht="12.75" customHeight="1" x14ac:dyDescent="0.25">
      <c r="A485" s="29"/>
      <c r="B485" s="45"/>
      <c r="C485" s="29" t="s">
        <v>906</v>
      </c>
      <c r="D485" s="26" t="s">
        <v>907</v>
      </c>
      <c r="E485" s="26" t="s">
        <v>63</v>
      </c>
    </row>
    <row r="486" spans="1:5" ht="12.75" customHeight="1" x14ac:dyDescent="0.25">
      <c r="A486" s="29"/>
      <c r="B486" s="45"/>
      <c r="C486" s="29" t="s">
        <v>908</v>
      </c>
      <c r="D486" s="26" t="s">
        <v>909</v>
      </c>
      <c r="E486" s="26" t="s">
        <v>63</v>
      </c>
    </row>
    <row r="487" spans="1:5" s="4" customFormat="1" ht="12.75" customHeight="1" x14ac:dyDescent="0.25">
      <c r="A487" s="10"/>
      <c r="B487" s="10"/>
      <c r="C487" s="10" t="s">
        <v>910</v>
      </c>
      <c r="D487" s="14" t="s">
        <v>911</v>
      </c>
      <c r="E487" s="14" t="s">
        <v>63</v>
      </c>
    </row>
    <row r="488" spans="1:5" s="4" customFormat="1" ht="12.75" customHeight="1" x14ac:dyDescent="0.25">
      <c r="A488" s="10"/>
      <c r="B488" s="10"/>
      <c r="C488" s="10" t="s">
        <v>912</v>
      </c>
      <c r="D488" s="14" t="s">
        <v>913</v>
      </c>
      <c r="E488" s="14"/>
    </row>
    <row r="489" spans="1:5" ht="12.75" customHeight="1" x14ac:dyDescent="0.25">
      <c r="A489" s="10"/>
      <c r="B489" s="10"/>
      <c r="C489" s="10" t="s">
        <v>914</v>
      </c>
      <c r="D489" s="14" t="s">
        <v>915</v>
      </c>
      <c r="E489" s="14" t="s">
        <v>194</v>
      </c>
    </row>
    <row r="490" spans="1:5" ht="12.75" customHeight="1" x14ac:dyDescent="0.25">
      <c r="A490" s="10"/>
      <c r="B490" s="10"/>
      <c r="C490" s="16" t="s">
        <v>916</v>
      </c>
      <c r="D490" s="17"/>
      <c r="E490" s="17"/>
    </row>
    <row r="491" spans="1:5" ht="12.75" customHeight="1" x14ac:dyDescent="0.25">
      <c r="A491" s="10"/>
      <c r="B491" s="10"/>
      <c r="C491" s="10" t="s">
        <v>917</v>
      </c>
      <c r="D491" s="14" t="s">
        <v>918</v>
      </c>
      <c r="E491" s="14" t="s">
        <v>63</v>
      </c>
    </row>
    <row r="492" spans="1:5" ht="12.75" customHeight="1" x14ac:dyDescent="0.25">
      <c r="A492" s="18"/>
      <c r="B492" s="18"/>
      <c r="C492" s="18" t="s">
        <v>919</v>
      </c>
      <c r="D492" s="19" t="s">
        <v>920</v>
      </c>
      <c r="E492" s="19" t="s">
        <v>63</v>
      </c>
    </row>
    <row r="493" spans="1:5" ht="12.75" customHeight="1" x14ac:dyDescent="0.25">
      <c r="A493" s="2"/>
      <c r="B493" s="2"/>
      <c r="C493" s="2"/>
      <c r="D493" s="1"/>
      <c r="E493" s="1"/>
    </row>
    <row r="494" spans="1:5" ht="12.75" customHeight="1" x14ac:dyDescent="0.25">
      <c r="A494" s="79" t="s">
        <v>54</v>
      </c>
      <c r="B494" s="79" t="s">
        <v>55</v>
      </c>
      <c r="C494" s="79" t="s">
        <v>56</v>
      </c>
      <c r="D494" s="81" t="s">
        <v>57</v>
      </c>
      <c r="E494" s="82"/>
    </row>
    <row r="495" spans="1:5" ht="12.75" customHeight="1" x14ac:dyDescent="0.25">
      <c r="A495" s="80"/>
      <c r="B495" s="80"/>
      <c r="C495" s="80"/>
      <c r="D495" s="5" t="s">
        <v>58</v>
      </c>
      <c r="E495" s="6" t="s">
        <v>56</v>
      </c>
    </row>
    <row r="496" spans="1:5" ht="12.75" customHeight="1" x14ac:dyDescent="0.25">
      <c r="A496" s="16" t="s">
        <v>791</v>
      </c>
      <c r="B496" s="16" t="s">
        <v>921</v>
      </c>
      <c r="C496" s="16" t="s">
        <v>921</v>
      </c>
      <c r="D496" s="17"/>
      <c r="E496" s="17"/>
    </row>
    <row r="497" spans="1:5" ht="12.75" customHeight="1" x14ac:dyDescent="0.25">
      <c r="A497" s="10"/>
      <c r="B497" s="10"/>
      <c r="C497" s="10" t="s">
        <v>922</v>
      </c>
      <c r="D497" s="14" t="s">
        <v>923</v>
      </c>
      <c r="E497" s="14" t="s">
        <v>63</v>
      </c>
    </row>
    <row r="498" spans="1:5" ht="12.75" customHeight="1" x14ac:dyDescent="0.25">
      <c r="A498" s="10"/>
      <c r="B498" s="10"/>
      <c r="C498" s="10" t="s">
        <v>924</v>
      </c>
      <c r="D498" s="14" t="s">
        <v>925</v>
      </c>
      <c r="E498" s="14" t="s">
        <v>63</v>
      </c>
    </row>
    <row r="499" spans="1:5" ht="12.75" customHeight="1" x14ac:dyDescent="0.25">
      <c r="A499" s="10"/>
      <c r="B499" s="10"/>
      <c r="C499" s="10" t="s">
        <v>926</v>
      </c>
      <c r="D499" s="14" t="s">
        <v>927</v>
      </c>
      <c r="E499" s="14" t="s">
        <v>63</v>
      </c>
    </row>
    <row r="500" spans="1:5" ht="12.75" customHeight="1" x14ac:dyDescent="0.25">
      <c r="A500" s="10"/>
      <c r="B500" s="10"/>
      <c r="C500" s="10" t="s">
        <v>928</v>
      </c>
      <c r="D500" s="14" t="s">
        <v>929</v>
      </c>
      <c r="E500" s="14"/>
    </row>
    <row r="501" spans="1:5" ht="12.75" customHeight="1" x14ac:dyDescent="0.25">
      <c r="A501" s="10"/>
      <c r="B501" s="10"/>
      <c r="C501" s="10" t="s">
        <v>930</v>
      </c>
      <c r="D501" s="14" t="s">
        <v>931</v>
      </c>
      <c r="E501" s="14" t="s">
        <v>63</v>
      </c>
    </row>
    <row r="502" spans="1:5" ht="12.75" customHeight="1" x14ac:dyDescent="0.25">
      <c r="A502" s="10"/>
      <c r="B502" s="10"/>
      <c r="C502" s="10" t="s">
        <v>932</v>
      </c>
      <c r="D502" s="14" t="s">
        <v>933</v>
      </c>
      <c r="E502" s="14" t="s">
        <v>63</v>
      </c>
    </row>
    <row r="503" spans="1:5" ht="12.75" customHeight="1" x14ac:dyDescent="0.25">
      <c r="A503" s="10"/>
      <c r="B503" s="10"/>
      <c r="C503" s="10" t="s">
        <v>934</v>
      </c>
      <c r="D503" s="14" t="s">
        <v>935</v>
      </c>
      <c r="E503" s="14"/>
    </row>
    <row r="504" spans="1:5" ht="12.75" customHeight="1" x14ac:dyDescent="0.25">
      <c r="A504" s="10"/>
      <c r="B504" s="10"/>
      <c r="C504" s="10" t="s">
        <v>936</v>
      </c>
      <c r="D504" s="14" t="s">
        <v>937</v>
      </c>
      <c r="E504" s="14"/>
    </row>
    <row r="505" spans="1:5" ht="12.75" customHeight="1" x14ac:dyDescent="0.25">
      <c r="A505" s="10"/>
      <c r="B505" s="10"/>
      <c r="C505" s="10" t="s">
        <v>938</v>
      </c>
      <c r="D505" s="14" t="s">
        <v>939</v>
      </c>
      <c r="E505" s="14" t="s">
        <v>63</v>
      </c>
    </row>
    <row r="506" spans="1:5" ht="12.75" customHeight="1" x14ac:dyDescent="0.25">
      <c r="A506" s="10"/>
      <c r="B506" s="10"/>
      <c r="C506" s="10" t="s">
        <v>940</v>
      </c>
      <c r="D506" s="14" t="s">
        <v>941</v>
      </c>
      <c r="E506" s="14"/>
    </row>
    <row r="507" spans="1:5" ht="12.75" customHeight="1" x14ac:dyDescent="0.25">
      <c r="A507" s="10"/>
      <c r="B507" s="10"/>
      <c r="C507" s="10" t="s">
        <v>942</v>
      </c>
      <c r="D507" s="14" t="s">
        <v>943</v>
      </c>
      <c r="E507" s="14" t="s">
        <v>63</v>
      </c>
    </row>
    <row r="508" spans="1:5" ht="12.75" customHeight="1" x14ac:dyDescent="0.25">
      <c r="A508" s="10"/>
      <c r="B508" s="10"/>
      <c r="C508" s="10" t="s">
        <v>944</v>
      </c>
      <c r="D508" s="14" t="s">
        <v>945</v>
      </c>
      <c r="E508" s="14" t="s">
        <v>92</v>
      </c>
    </row>
    <row r="509" spans="1:5" ht="12.75" customHeight="1" x14ac:dyDescent="0.25">
      <c r="A509" s="10"/>
      <c r="B509" s="10"/>
      <c r="C509" s="10" t="s">
        <v>946</v>
      </c>
      <c r="D509" s="14" t="s">
        <v>947</v>
      </c>
      <c r="E509" s="14" t="s">
        <v>194</v>
      </c>
    </row>
    <row r="510" spans="1:5" ht="12.75" customHeight="1" x14ac:dyDescent="0.25">
      <c r="A510" s="10"/>
      <c r="B510" s="10"/>
      <c r="C510" s="10" t="s">
        <v>948</v>
      </c>
      <c r="D510" s="14" t="s">
        <v>949</v>
      </c>
      <c r="E510" s="14" t="s">
        <v>63</v>
      </c>
    </row>
    <row r="511" spans="1:5" ht="12.75" customHeight="1" x14ac:dyDescent="0.25">
      <c r="A511" s="10"/>
      <c r="B511" s="10"/>
      <c r="C511" s="20" t="s">
        <v>950</v>
      </c>
      <c r="D511" s="23"/>
      <c r="E511" s="23"/>
    </row>
    <row r="512" spans="1:5" x14ac:dyDescent="0.25">
      <c r="A512" s="10"/>
      <c r="B512" s="10"/>
      <c r="C512" s="11" t="s">
        <v>951</v>
      </c>
      <c r="D512" s="12" t="s">
        <v>952</v>
      </c>
      <c r="E512" s="12" t="s">
        <v>63</v>
      </c>
    </row>
    <row r="513" spans="1:7" x14ac:dyDescent="0.25">
      <c r="A513" s="10"/>
      <c r="B513" s="10"/>
      <c r="C513" s="11" t="s">
        <v>953</v>
      </c>
      <c r="D513" s="12" t="s">
        <v>954</v>
      </c>
      <c r="E513" s="12" t="s">
        <v>63</v>
      </c>
    </row>
    <row r="514" spans="1:7" ht="12.75" customHeight="1" x14ac:dyDescent="0.25">
      <c r="A514" s="10"/>
      <c r="B514" s="16" t="s">
        <v>955</v>
      </c>
      <c r="C514" s="16" t="s">
        <v>955</v>
      </c>
      <c r="D514" s="17"/>
      <c r="E514" s="17"/>
    </row>
    <row r="515" spans="1:7" ht="12.75" customHeight="1" x14ac:dyDescent="0.25">
      <c r="A515" s="10"/>
      <c r="B515" s="10"/>
      <c r="C515" s="10" t="s">
        <v>956</v>
      </c>
      <c r="D515" s="14" t="s">
        <v>957</v>
      </c>
      <c r="E515" s="14"/>
    </row>
    <row r="516" spans="1:7" ht="12.75" customHeight="1" x14ac:dyDescent="0.25">
      <c r="A516" s="10"/>
      <c r="B516" s="10"/>
      <c r="C516" s="11" t="s">
        <v>958</v>
      </c>
      <c r="D516" s="12" t="s">
        <v>959</v>
      </c>
      <c r="E516" s="12"/>
    </row>
    <row r="517" spans="1:7" ht="12.75" customHeight="1" x14ac:dyDescent="0.25">
      <c r="A517" s="10"/>
      <c r="B517" s="10"/>
      <c r="C517" s="11" t="s">
        <v>960</v>
      </c>
      <c r="D517" s="12" t="s">
        <v>961</v>
      </c>
      <c r="E517" s="12"/>
    </row>
    <row r="518" spans="1:7" s="4" customFormat="1" ht="12.75" customHeight="1" x14ac:dyDescent="0.25">
      <c r="A518" s="10"/>
      <c r="B518" s="16" t="s">
        <v>962</v>
      </c>
      <c r="C518" s="16" t="s">
        <v>962</v>
      </c>
      <c r="D518" s="17"/>
      <c r="E518" s="17"/>
      <c r="G518" s="27"/>
    </row>
    <row r="519" spans="1:7" s="4" customFormat="1" ht="12.75" customHeight="1" x14ac:dyDescent="0.25">
      <c r="A519" s="24"/>
      <c r="B519" s="24"/>
      <c r="C519" s="24" t="s">
        <v>963</v>
      </c>
      <c r="D519" s="28" t="s">
        <v>964</v>
      </c>
      <c r="E519" s="24" t="s">
        <v>92</v>
      </c>
      <c r="G519" s="27"/>
    </row>
    <row r="520" spans="1:7" s="4" customFormat="1" ht="12.75" customHeight="1" x14ac:dyDescent="0.25">
      <c r="A520" s="24"/>
      <c r="B520" s="24"/>
      <c r="C520" s="24" t="s">
        <v>965</v>
      </c>
      <c r="D520" s="28" t="s">
        <v>966</v>
      </c>
      <c r="E520" s="24" t="s">
        <v>92</v>
      </c>
      <c r="G520" s="3"/>
    </row>
    <row r="521" spans="1:7" s="4" customFormat="1" ht="12.75" customHeight="1" x14ac:dyDescent="0.25">
      <c r="A521" s="18"/>
      <c r="B521" s="18"/>
      <c r="C521" s="18" t="s">
        <v>967</v>
      </c>
      <c r="D521" s="19" t="s">
        <v>968</v>
      </c>
      <c r="E521" s="19" t="s">
        <v>92</v>
      </c>
    </row>
    <row r="522" spans="1:7" s="4" customFormat="1" ht="12.75" customHeight="1" x14ac:dyDescent="0.25">
      <c r="A522" s="2"/>
      <c r="B522" s="2"/>
      <c r="C522" s="2"/>
      <c r="D522" s="1"/>
      <c r="E522" s="1"/>
    </row>
    <row r="523" spans="1:7" s="4" customFormat="1" ht="12.75" customHeight="1" x14ac:dyDescent="0.2">
      <c r="A523" s="79" t="s">
        <v>54</v>
      </c>
      <c r="B523" s="79" t="s">
        <v>55</v>
      </c>
      <c r="C523" s="79" t="s">
        <v>56</v>
      </c>
      <c r="D523" s="81" t="s">
        <v>57</v>
      </c>
      <c r="E523" s="82"/>
    </row>
    <row r="524" spans="1:7" s="4" customFormat="1" ht="12.75" customHeight="1" x14ac:dyDescent="0.2">
      <c r="A524" s="80"/>
      <c r="B524" s="80"/>
      <c r="C524" s="80"/>
      <c r="D524" s="5" t="s">
        <v>58</v>
      </c>
      <c r="E524" s="6" t="s">
        <v>56</v>
      </c>
    </row>
    <row r="525" spans="1:7" s="4" customFormat="1" ht="12.75" customHeight="1" x14ac:dyDescent="0.25">
      <c r="A525" s="16" t="s">
        <v>969</v>
      </c>
      <c r="B525" s="16" t="s">
        <v>969</v>
      </c>
      <c r="C525" s="16" t="s">
        <v>969</v>
      </c>
      <c r="D525" s="17"/>
      <c r="E525" s="17"/>
    </row>
    <row r="526" spans="1:7" ht="12.75" customHeight="1" x14ac:dyDescent="0.25">
      <c r="A526" s="10"/>
      <c r="B526" s="10"/>
      <c r="C526" s="11" t="s">
        <v>970</v>
      </c>
      <c r="D526" s="12" t="s">
        <v>971</v>
      </c>
      <c r="E526" s="12" t="s">
        <v>92</v>
      </c>
    </row>
    <row r="527" spans="1:7" ht="12.75" customHeight="1" x14ac:dyDescent="0.25">
      <c r="A527" s="10"/>
      <c r="B527" s="10"/>
      <c r="C527" s="10" t="s">
        <v>972</v>
      </c>
      <c r="D527" s="14" t="s">
        <v>973</v>
      </c>
      <c r="E527" s="14" t="s">
        <v>92</v>
      </c>
    </row>
    <row r="528" spans="1:7" ht="12.75" customHeight="1" x14ac:dyDescent="0.25">
      <c r="A528" s="10"/>
      <c r="B528" s="10"/>
      <c r="C528" s="11" t="s">
        <v>974</v>
      </c>
      <c r="D528" s="12" t="s">
        <v>975</v>
      </c>
      <c r="E528" s="12"/>
    </row>
    <row r="529" spans="1:7" ht="12.75" customHeight="1" x14ac:dyDescent="0.25">
      <c r="A529" s="10"/>
      <c r="B529" s="10"/>
      <c r="C529" s="11" t="s">
        <v>976</v>
      </c>
      <c r="D529" s="12" t="s">
        <v>977</v>
      </c>
      <c r="E529" s="12" t="s">
        <v>92</v>
      </c>
    </row>
    <row r="530" spans="1:7" ht="12.75" customHeight="1" x14ac:dyDescent="0.25">
      <c r="A530" s="10"/>
      <c r="B530" s="10"/>
      <c r="C530" s="10" t="s">
        <v>978</v>
      </c>
      <c r="D530" s="14" t="s">
        <v>979</v>
      </c>
      <c r="E530" s="14" t="s">
        <v>92</v>
      </c>
    </row>
    <row r="531" spans="1:7" ht="12.75" customHeight="1" x14ac:dyDescent="0.25">
      <c r="A531" s="10"/>
      <c r="B531" s="10"/>
      <c r="C531" s="10" t="s">
        <v>980</v>
      </c>
      <c r="D531" s="14" t="s">
        <v>981</v>
      </c>
      <c r="E531" s="14" t="s">
        <v>92</v>
      </c>
    </row>
    <row r="532" spans="1:7" ht="12.75" customHeight="1" x14ac:dyDescent="0.25">
      <c r="A532" s="10"/>
      <c r="B532" s="10"/>
      <c r="C532" s="10" t="s">
        <v>982</v>
      </c>
      <c r="D532" s="14" t="s">
        <v>983</v>
      </c>
      <c r="E532" s="14" t="s">
        <v>92</v>
      </c>
    </row>
    <row r="533" spans="1:7" ht="12.75" customHeight="1" x14ac:dyDescent="0.25">
      <c r="A533" s="10"/>
      <c r="B533" s="10"/>
      <c r="C533" s="10" t="s">
        <v>984</v>
      </c>
      <c r="D533" s="14" t="s">
        <v>985</v>
      </c>
      <c r="E533" s="14"/>
    </row>
    <row r="534" spans="1:7" ht="12.75" customHeight="1" x14ac:dyDescent="0.25">
      <c r="A534" s="10"/>
      <c r="B534" s="10"/>
      <c r="C534" s="10" t="s">
        <v>986</v>
      </c>
      <c r="D534" s="14" t="s">
        <v>987</v>
      </c>
      <c r="E534" s="14"/>
    </row>
    <row r="535" spans="1:7" ht="12.75" customHeight="1" x14ac:dyDescent="0.25">
      <c r="A535" s="10"/>
      <c r="B535" s="10"/>
      <c r="C535" s="11" t="s">
        <v>988</v>
      </c>
      <c r="D535" s="12" t="s">
        <v>989</v>
      </c>
      <c r="E535" s="12" t="s">
        <v>92</v>
      </c>
    </row>
    <row r="536" spans="1:7" ht="12.75" customHeight="1" x14ac:dyDescent="0.25">
      <c r="A536" s="10"/>
      <c r="B536" s="10"/>
      <c r="C536" s="10" t="s">
        <v>990</v>
      </c>
      <c r="D536" s="14" t="s">
        <v>991</v>
      </c>
      <c r="E536" s="14"/>
    </row>
    <row r="537" spans="1:7" ht="12.75" customHeight="1" x14ac:dyDescent="0.25">
      <c r="A537" s="10"/>
      <c r="B537" s="10"/>
      <c r="C537" s="10" t="s">
        <v>992</v>
      </c>
      <c r="D537" s="14" t="s">
        <v>993</v>
      </c>
      <c r="E537" s="14"/>
    </row>
    <row r="538" spans="1:7" ht="12.75" customHeight="1" x14ac:dyDescent="0.25">
      <c r="A538" s="10"/>
      <c r="B538" s="10"/>
      <c r="C538" s="10" t="s">
        <v>994</v>
      </c>
      <c r="D538" s="14" t="s">
        <v>995</v>
      </c>
      <c r="E538" s="14" t="s">
        <v>92</v>
      </c>
    </row>
    <row r="539" spans="1:7" ht="12.75" customHeight="1" x14ac:dyDescent="0.25">
      <c r="A539" s="10"/>
      <c r="B539" s="10"/>
      <c r="C539" s="10" t="s">
        <v>996</v>
      </c>
      <c r="D539" s="14" t="s">
        <v>997</v>
      </c>
      <c r="E539" s="14"/>
    </row>
    <row r="540" spans="1:7" ht="12.75" customHeight="1" x14ac:dyDescent="0.25">
      <c r="A540" s="10"/>
      <c r="B540" s="10"/>
      <c r="C540" s="10" t="s">
        <v>998</v>
      </c>
      <c r="D540" s="14" t="s">
        <v>999</v>
      </c>
      <c r="E540" s="14" t="s">
        <v>92</v>
      </c>
    </row>
    <row r="541" spans="1:7" ht="12.75" customHeight="1" x14ac:dyDescent="0.25">
      <c r="A541" s="10"/>
      <c r="B541" s="10"/>
      <c r="C541" s="10" t="s">
        <v>1000</v>
      </c>
      <c r="D541" s="14" t="s">
        <v>1001</v>
      </c>
      <c r="E541" s="14"/>
    </row>
    <row r="542" spans="1:7" ht="12.75" customHeight="1" x14ac:dyDescent="0.25">
      <c r="A542" s="10"/>
      <c r="B542" s="10"/>
      <c r="C542" s="10" t="s">
        <v>1002</v>
      </c>
      <c r="D542" s="14" t="s">
        <v>1003</v>
      </c>
      <c r="E542" s="14" t="s">
        <v>92</v>
      </c>
    </row>
    <row r="543" spans="1:7" ht="12.75" customHeight="1" x14ac:dyDescent="0.25">
      <c r="A543" s="10"/>
      <c r="B543" s="10"/>
      <c r="C543" s="10" t="s">
        <v>1004</v>
      </c>
      <c r="D543" s="14" t="s">
        <v>1005</v>
      </c>
      <c r="E543" s="14" t="s">
        <v>92</v>
      </c>
    </row>
    <row r="544" spans="1:7" s="4" customFormat="1" ht="12.75" customHeight="1" x14ac:dyDescent="0.25">
      <c r="A544" s="10"/>
      <c r="B544" s="10"/>
      <c r="C544" s="10" t="s">
        <v>1006</v>
      </c>
      <c r="D544" s="14" t="s">
        <v>1007</v>
      </c>
      <c r="E544" s="14" t="s">
        <v>92</v>
      </c>
      <c r="G544" s="3"/>
    </row>
    <row r="545" spans="1:7" s="4" customFormat="1" ht="12.75" customHeight="1" x14ac:dyDescent="0.25">
      <c r="A545" s="18"/>
      <c r="B545" s="18"/>
      <c r="C545" s="18" t="s">
        <v>1008</v>
      </c>
      <c r="D545" s="19" t="s">
        <v>1009</v>
      </c>
      <c r="E545" s="19" t="s">
        <v>92</v>
      </c>
      <c r="G545" s="3"/>
    </row>
    <row r="546" spans="1:7" s="4" customFormat="1" ht="12.9" customHeight="1" x14ac:dyDescent="0.25">
      <c r="A546" s="46"/>
      <c r="B546" s="46"/>
      <c r="D546" s="47"/>
      <c r="E546" s="48"/>
    </row>
    <row r="547" spans="1:7" s="4" customFormat="1" ht="12.9" customHeight="1" x14ac:dyDescent="0.25">
      <c r="A547" s="49" t="s">
        <v>1010</v>
      </c>
      <c r="B547" s="50"/>
      <c r="C547" s="51"/>
      <c r="D547" s="52"/>
      <c r="E547" s="53"/>
    </row>
    <row r="548" spans="1:7" s="4" customFormat="1" ht="12.9" customHeight="1" x14ac:dyDescent="0.25">
      <c r="A548" s="54" t="s">
        <v>1011</v>
      </c>
      <c r="B548" s="46"/>
      <c r="D548" s="47"/>
      <c r="E548" s="55"/>
    </row>
    <row r="549" spans="1:7" s="4" customFormat="1" ht="12.9" customHeight="1" x14ac:dyDescent="0.25">
      <c r="A549" s="54" t="s">
        <v>1012</v>
      </c>
      <c r="B549" s="46"/>
      <c r="D549" s="47"/>
      <c r="E549" s="55"/>
    </row>
    <row r="550" spans="1:7" s="4" customFormat="1" ht="12.9" customHeight="1" x14ac:dyDescent="0.25">
      <c r="A550" s="56" t="s">
        <v>1013</v>
      </c>
      <c r="B550" s="46"/>
      <c r="D550" s="47"/>
      <c r="E550" s="55"/>
    </row>
    <row r="551" spans="1:7" s="4" customFormat="1" ht="12.9" customHeight="1" x14ac:dyDescent="0.25">
      <c r="A551" s="56" t="s">
        <v>1014</v>
      </c>
      <c r="B551" s="46"/>
      <c r="D551" s="47"/>
      <c r="E551" s="55"/>
    </row>
    <row r="552" spans="1:7" s="4" customFormat="1" ht="12.9" customHeight="1" x14ac:dyDescent="0.25">
      <c r="A552" s="56" t="s">
        <v>1015</v>
      </c>
      <c r="B552" s="46"/>
      <c r="D552" s="47"/>
      <c r="E552" s="55"/>
    </row>
    <row r="553" spans="1:7" s="4" customFormat="1" ht="12.9" customHeight="1" x14ac:dyDescent="0.25">
      <c r="A553" s="56" t="s">
        <v>1016</v>
      </c>
      <c r="B553" s="46"/>
      <c r="D553" s="47"/>
      <c r="E553" s="55"/>
    </row>
    <row r="554" spans="1:7" s="4" customFormat="1" ht="12.9" customHeight="1" x14ac:dyDescent="0.25">
      <c r="A554" s="56" t="s">
        <v>1017</v>
      </c>
      <c r="B554" s="46"/>
      <c r="D554" s="47"/>
      <c r="E554" s="55"/>
    </row>
    <row r="555" spans="1:7" s="4" customFormat="1" ht="12.9" customHeight="1" x14ac:dyDescent="0.25">
      <c r="A555" s="57" t="s">
        <v>1018</v>
      </c>
      <c r="B555" s="58"/>
      <c r="C555" s="59"/>
      <c r="D555" s="60"/>
      <c r="E555" s="61"/>
    </row>
    <row r="556" spans="1:7" s="4" customFormat="1" ht="12.9" customHeight="1" x14ac:dyDescent="0.25">
      <c r="A556" s="46"/>
      <c r="B556" s="46"/>
      <c r="C556" s="46"/>
      <c r="D556" s="48"/>
      <c r="E556" s="48"/>
    </row>
    <row r="557" spans="1:7" s="4" customFormat="1" ht="12.9" customHeight="1" x14ac:dyDescent="0.25">
      <c r="A557" s="62" t="s">
        <v>1019</v>
      </c>
      <c r="B557" s="50"/>
      <c r="C557" s="50"/>
      <c r="D557" s="63"/>
      <c r="E557" s="53"/>
    </row>
    <row r="558" spans="1:7" s="4" customFormat="1" ht="12.9" customHeight="1" x14ac:dyDescent="0.25">
      <c r="A558" s="64" t="s">
        <v>1020</v>
      </c>
      <c r="B558" s="46"/>
      <c r="C558" s="46"/>
      <c r="D558" s="48"/>
      <c r="E558" s="55"/>
    </row>
    <row r="559" spans="1:7" s="4" customFormat="1" ht="12.9" customHeight="1" x14ac:dyDescent="0.25">
      <c r="A559" s="64" t="s">
        <v>1021</v>
      </c>
      <c r="B559" s="46"/>
      <c r="C559" s="46"/>
      <c r="D559" s="48"/>
      <c r="E559" s="55"/>
    </row>
    <row r="560" spans="1:7" x14ac:dyDescent="0.25">
      <c r="A560" s="64" t="s">
        <v>1022</v>
      </c>
      <c r="B560" s="46"/>
      <c r="C560" s="46"/>
      <c r="D560" s="48"/>
      <c r="E560" s="55"/>
      <c r="G560" s="4"/>
    </row>
    <row r="561" spans="1:7" x14ac:dyDescent="0.25">
      <c r="A561" s="64" t="s">
        <v>1023</v>
      </c>
      <c r="B561" s="46"/>
      <c r="C561" s="46"/>
      <c r="D561" s="48"/>
      <c r="E561" s="55"/>
      <c r="G561" s="4"/>
    </row>
    <row r="562" spans="1:7" x14ac:dyDescent="0.25">
      <c r="A562" s="64" t="s">
        <v>1024</v>
      </c>
      <c r="B562" s="46"/>
      <c r="C562" s="46"/>
      <c r="D562" s="48"/>
      <c r="E562" s="55"/>
      <c r="G562" s="4"/>
    </row>
    <row r="563" spans="1:7" x14ac:dyDescent="0.25">
      <c r="A563" s="65" t="s">
        <v>1025</v>
      </c>
      <c r="B563" s="58"/>
      <c r="C563" s="58"/>
      <c r="D563" s="66"/>
      <c r="E563" s="61"/>
    </row>
    <row r="565" spans="1:7" x14ac:dyDescent="0.25">
      <c r="A565" s="4"/>
      <c r="B565" s="4"/>
      <c r="C565" s="4"/>
      <c r="D565" s="4"/>
      <c r="E565" s="4"/>
    </row>
  </sheetData>
  <mergeCells count="53">
    <mergeCell ref="A523:A524"/>
    <mergeCell ref="B523:B524"/>
    <mergeCell ref="C523:C524"/>
    <mergeCell ref="D523:E523"/>
    <mergeCell ref="A423:A424"/>
    <mergeCell ref="B423:B424"/>
    <mergeCell ref="C423:C424"/>
    <mergeCell ref="D423:E423"/>
    <mergeCell ref="A494:A495"/>
    <mergeCell ref="B494:B495"/>
    <mergeCell ref="C494:C495"/>
    <mergeCell ref="D494:E494"/>
    <mergeCell ref="A341:A342"/>
    <mergeCell ref="B341:B342"/>
    <mergeCell ref="C341:C342"/>
    <mergeCell ref="D341:E341"/>
    <mergeCell ref="A352:A353"/>
    <mergeCell ref="B352:B353"/>
    <mergeCell ref="C352:C353"/>
    <mergeCell ref="D352:E352"/>
    <mergeCell ref="A302:A303"/>
    <mergeCell ref="B302:B303"/>
    <mergeCell ref="C302:C303"/>
    <mergeCell ref="D302:E302"/>
    <mergeCell ref="A329:A330"/>
    <mergeCell ref="B329:B330"/>
    <mergeCell ref="C329:C330"/>
    <mergeCell ref="D329:E329"/>
    <mergeCell ref="A195:A196"/>
    <mergeCell ref="B195:B196"/>
    <mergeCell ref="C195:C196"/>
    <mergeCell ref="D195:E195"/>
    <mergeCell ref="A243:A244"/>
    <mergeCell ref="B243:B244"/>
    <mergeCell ref="C243:C244"/>
    <mergeCell ref="D243:E243"/>
    <mergeCell ref="A67:A68"/>
    <mergeCell ref="B67:B68"/>
    <mergeCell ref="C67:C68"/>
    <mergeCell ref="D67:E67"/>
    <mergeCell ref="A160:A161"/>
    <mergeCell ref="B160:B161"/>
    <mergeCell ref="C160:C161"/>
    <mergeCell ref="D160:E160"/>
    <mergeCell ref="A22:A23"/>
    <mergeCell ref="B22:B23"/>
    <mergeCell ref="C22:C23"/>
    <mergeCell ref="D22:E22"/>
    <mergeCell ref="A1:E3"/>
    <mergeCell ref="A7:A8"/>
    <mergeCell ref="B7:B8"/>
    <mergeCell ref="C7:C8"/>
    <mergeCell ref="D7:E7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63" orientation="portrait" r:id="rId1"/>
  <headerFooter>
    <oddFooter>&amp;LClassificação Setorial - 19/05/2020&amp;R&amp;P</oddFooter>
  </headerFooter>
  <rowBreaks count="6" manualBreakCount="6">
    <brk id="66" max="4" man="1"/>
    <brk id="159" max="4" man="1"/>
    <brk id="242" max="4" man="1"/>
    <brk id="328" max="4" man="1"/>
    <brk id="422" max="4" man="1"/>
    <brk id="493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E79C-60D7-4EA8-B692-D8A8940E92D6}">
  <dimension ref="A1:E457"/>
  <sheetViews>
    <sheetView showGridLines="0" zoomScaleNormal="100" zoomScaleSheetLayoutView="100" workbookViewId="0">
      <selection activeCell="E9" sqref="E9"/>
    </sheetView>
  </sheetViews>
  <sheetFormatPr defaultColWidth="9.109375" defaultRowHeight="13.2" x14ac:dyDescent="0.25"/>
  <cols>
    <col min="1" max="1" width="13.5546875" style="3" customWidth="1"/>
    <col min="2" max="2" width="39.33203125" style="3" customWidth="1"/>
    <col min="3" max="3" width="28.5546875" style="3" bestFit="1" customWidth="1"/>
    <col min="4" max="4" width="34.6640625" style="3" bestFit="1" customWidth="1"/>
    <col min="5" max="5" width="38" style="3" bestFit="1" customWidth="1"/>
    <col min="6" max="16384" width="9.109375" style="3"/>
  </cols>
  <sheetData>
    <row r="1" spans="1:5" s="4" customFormat="1" ht="27.75" customHeight="1" x14ac:dyDescent="0.2">
      <c r="A1" s="73" t="s">
        <v>1051</v>
      </c>
      <c r="B1" s="73" t="s">
        <v>1050</v>
      </c>
      <c r="C1" s="73" t="s">
        <v>54</v>
      </c>
      <c r="D1" s="73" t="s">
        <v>55</v>
      </c>
      <c r="E1" s="73" t="s">
        <v>56</v>
      </c>
    </row>
    <row r="2" spans="1:5" x14ac:dyDescent="0.25">
      <c r="A2" s="3" t="s">
        <v>596</v>
      </c>
      <c r="B2" s="3" t="s">
        <v>595</v>
      </c>
      <c r="C2" s="3" t="s">
        <v>581</v>
      </c>
      <c r="D2" s="3" t="s">
        <v>592</v>
      </c>
      <c r="E2" s="3" t="s">
        <v>592</v>
      </c>
    </row>
    <row r="3" spans="1:5" s="27" customFormat="1" x14ac:dyDescent="0.25">
      <c r="A3" s="3" t="s">
        <v>795</v>
      </c>
      <c r="B3" s="3" t="s">
        <v>794</v>
      </c>
      <c r="C3" s="3" t="s">
        <v>791</v>
      </c>
      <c r="D3" s="3" t="s">
        <v>792</v>
      </c>
      <c r="E3" s="3" t="s">
        <v>793</v>
      </c>
    </row>
    <row r="4" spans="1:5" x14ac:dyDescent="0.25">
      <c r="A4" s="3" t="s">
        <v>382</v>
      </c>
      <c r="B4" s="3" t="s">
        <v>381</v>
      </c>
      <c r="C4" s="3" t="s">
        <v>334</v>
      </c>
      <c r="D4" s="3" t="s">
        <v>379</v>
      </c>
      <c r="E4" s="3" t="s">
        <v>380</v>
      </c>
    </row>
    <row r="5" spans="1:5" x14ac:dyDescent="0.25">
      <c r="A5" s="3" t="s">
        <v>594</v>
      </c>
      <c r="B5" s="3" t="s">
        <v>593</v>
      </c>
      <c r="C5" s="3" t="s">
        <v>581</v>
      </c>
      <c r="D5" s="3" t="s">
        <v>592</v>
      </c>
      <c r="E5" s="3" t="s">
        <v>592</v>
      </c>
    </row>
    <row r="6" spans="1:5" x14ac:dyDescent="0.25">
      <c r="A6" s="3" t="s">
        <v>660</v>
      </c>
      <c r="B6" s="3" t="s">
        <v>659</v>
      </c>
      <c r="C6" s="3" t="s">
        <v>657</v>
      </c>
      <c r="D6" s="3" t="s">
        <v>658</v>
      </c>
      <c r="E6" s="3" t="s">
        <v>658</v>
      </c>
    </row>
    <row r="7" spans="1:5" x14ac:dyDescent="0.25">
      <c r="A7" s="3" t="s">
        <v>664</v>
      </c>
      <c r="B7" s="3" t="s">
        <v>663</v>
      </c>
      <c r="C7" s="3" t="s">
        <v>657</v>
      </c>
      <c r="D7" s="3" t="s">
        <v>658</v>
      </c>
      <c r="E7" s="3" t="s">
        <v>658</v>
      </c>
    </row>
    <row r="8" spans="1:5" x14ac:dyDescent="0.25">
      <c r="A8" s="3" t="s">
        <v>340</v>
      </c>
      <c r="B8" s="3" t="s">
        <v>339</v>
      </c>
      <c r="C8" s="3" t="s">
        <v>334</v>
      </c>
      <c r="D8" s="3" t="s">
        <v>335</v>
      </c>
      <c r="E8" s="3" t="s">
        <v>336</v>
      </c>
    </row>
    <row r="9" spans="1:5" x14ac:dyDescent="0.25">
      <c r="A9" s="3" t="s">
        <v>299</v>
      </c>
      <c r="B9" s="3" t="s">
        <v>298</v>
      </c>
      <c r="C9" s="3" t="s">
        <v>165</v>
      </c>
      <c r="D9" s="3" t="s">
        <v>238</v>
      </c>
      <c r="E9" s="3" t="s">
        <v>297</v>
      </c>
    </row>
    <row r="10" spans="1:5" x14ac:dyDescent="0.25">
      <c r="A10" s="3" t="s">
        <v>519</v>
      </c>
      <c r="B10" s="3" t="s">
        <v>518</v>
      </c>
      <c r="C10" s="3" t="s">
        <v>396</v>
      </c>
      <c r="D10" s="3" t="s">
        <v>510</v>
      </c>
      <c r="E10" s="3" t="s">
        <v>517</v>
      </c>
    </row>
    <row r="11" spans="1:5" x14ac:dyDescent="0.25">
      <c r="A11" s="3" t="s">
        <v>973</v>
      </c>
      <c r="B11" s="3" t="s">
        <v>972</v>
      </c>
      <c r="C11" s="3" t="s">
        <v>969</v>
      </c>
      <c r="D11" s="3" t="s">
        <v>969</v>
      </c>
      <c r="E11" s="3" t="s">
        <v>969</v>
      </c>
    </row>
    <row r="12" spans="1:5" x14ac:dyDescent="0.25">
      <c r="A12" s="3" t="s">
        <v>643</v>
      </c>
      <c r="B12" s="3" t="s">
        <v>642</v>
      </c>
      <c r="C12" s="3" t="s">
        <v>640</v>
      </c>
      <c r="D12" s="3" t="s">
        <v>641</v>
      </c>
      <c r="E12" s="3" t="s">
        <v>641</v>
      </c>
    </row>
    <row r="13" spans="1:5" x14ac:dyDescent="0.25">
      <c r="A13" s="3" t="s">
        <v>470</v>
      </c>
      <c r="B13" s="3" t="s">
        <v>469</v>
      </c>
      <c r="C13" s="3" t="s">
        <v>396</v>
      </c>
      <c r="D13" s="3" t="s">
        <v>441</v>
      </c>
      <c r="E13" s="3" t="s">
        <v>468</v>
      </c>
    </row>
    <row r="14" spans="1:5" x14ac:dyDescent="0.25">
      <c r="A14" s="3" t="s">
        <v>320</v>
      </c>
      <c r="B14" s="3" t="s">
        <v>319</v>
      </c>
      <c r="C14" s="3" t="s">
        <v>165</v>
      </c>
      <c r="D14" s="3" t="s">
        <v>182</v>
      </c>
      <c r="E14" s="3" t="s">
        <v>182</v>
      </c>
    </row>
    <row r="15" spans="1:5" x14ac:dyDescent="0.25">
      <c r="A15" s="3" t="s">
        <v>923</v>
      </c>
      <c r="B15" s="3" t="s">
        <v>922</v>
      </c>
      <c r="C15" s="3" t="s">
        <v>791</v>
      </c>
      <c r="D15" s="3" t="s">
        <v>921</v>
      </c>
      <c r="E15" s="3" t="s">
        <v>921</v>
      </c>
    </row>
    <row r="16" spans="1:5" x14ac:dyDescent="0.25">
      <c r="A16" s="3" t="s">
        <v>666</v>
      </c>
      <c r="B16" s="3" t="s">
        <v>665</v>
      </c>
      <c r="C16" s="3" t="s">
        <v>657</v>
      </c>
      <c r="D16" s="3" t="s">
        <v>658</v>
      </c>
      <c r="E16" s="3" t="s">
        <v>658</v>
      </c>
    </row>
    <row r="17" spans="1:5" x14ac:dyDescent="0.25">
      <c r="A17" s="3" t="s">
        <v>565</v>
      </c>
      <c r="B17" s="3" t="s">
        <v>564</v>
      </c>
      <c r="C17" s="3" t="s">
        <v>396</v>
      </c>
      <c r="D17" s="3" t="s">
        <v>327</v>
      </c>
      <c r="E17" s="3" t="s">
        <v>441</v>
      </c>
    </row>
    <row r="18" spans="1:5" x14ac:dyDescent="0.25">
      <c r="A18" s="3" t="s">
        <v>268</v>
      </c>
      <c r="B18" s="3" t="s">
        <v>267</v>
      </c>
      <c r="C18" s="3" t="s">
        <v>165</v>
      </c>
      <c r="D18" s="3" t="s">
        <v>238</v>
      </c>
      <c r="E18" s="3" t="s">
        <v>266</v>
      </c>
    </row>
    <row r="19" spans="1:5" x14ac:dyDescent="0.25">
      <c r="A19" s="3" t="s">
        <v>531</v>
      </c>
      <c r="B19" s="3" t="s">
        <v>530</v>
      </c>
      <c r="C19" s="3" t="s">
        <v>396</v>
      </c>
      <c r="D19" s="3" t="s">
        <v>528</v>
      </c>
      <c r="E19" s="3" t="s">
        <v>529</v>
      </c>
    </row>
    <row r="20" spans="1:5" x14ac:dyDescent="0.25">
      <c r="A20" s="3" t="s">
        <v>882</v>
      </c>
      <c r="B20" s="3" t="s">
        <v>881</v>
      </c>
      <c r="C20" s="3" t="s">
        <v>791</v>
      </c>
      <c r="D20" s="3" t="s">
        <v>856</v>
      </c>
      <c r="E20" s="3" t="s">
        <v>856</v>
      </c>
    </row>
    <row r="21" spans="1:5" x14ac:dyDescent="0.25">
      <c r="A21" s="3" t="s">
        <v>918</v>
      </c>
      <c r="B21" s="3" t="s">
        <v>917</v>
      </c>
      <c r="C21" s="3" t="s">
        <v>791</v>
      </c>
      <c r="D21" s="3" t="s">
        <v>902</v>
      </c>
      <c r="E21" s="3" t="s">
        <v>916</v>
      </c>
    </row>
    <row r="22" spans="1:5" x14ac:dyDescent="0.25">
      <c r="A22" s="3" t="s">
        <v>338</v>
      </c>
      <c r="B22" s="3" t="s">
        <v>337</v>
      </c>
      <c r="C22" s="3" t="s">
        <v>334</v>
      </c>
      <c r="D22" s="3" t="s">
        <v>335</v>
      </c>
      <c r="E22" s="3" t="s">
        <v>336</v>
      </c>
    </row>
    <row r="23" spans="1:5" x14ac:dyDescent="0.25">
      <c r="A23" s="3" t="s">
        <v>555</v>
      </c>
      <c r="B23" s="3" t="s">
        <v>554</v>
      </c>
      <c r="C23" s="3" t="s">
        <v>396</v>
      </c>
      <c r="D23" s="3" t="s">
        <v>327</v>
      </c>
      <c r="E23" s="3" t="s">
        <v>441</v>
      </c>
    </row>
    <row r="24" spans="1:5" x14ac:dyDescent="0.25">
      <c r="A24" s="3" t="s">
        <v>280</v>
      </c>
      <c r="B24" s="3" t="s">
        <v>279</v>
      </c>
      <c r="C24" s="3" t="s">
        <v>165</v>
      </c>
      <c r="D24" s="3" t="s">
        <v>238</v>
      </c>
      <c r="E24" s="3" t="s">
        <v>266</v>
      </c>
    </row>
    <row r="25" spans="1:5" x14ac:dyDescent="0.25">
      <c r="A25" s="3" t="s">
        <v>312</v>
      </c>
      <c r="B25" s="3" t="s">
        <v>311</v>
      </c>
      <c r="C25" s="3" t="s">
        <v>165</v>
      </c>
      <c r="D25" s="3" t="s">
        <v>182</v>
      </c>
      <c r="E25" s="3" t="s">
        <v>182</v>
      </c>
    </row>
    <row r="26" spans="1:5" x14ac:dyDescent="0.25">
      <c r="A26" s="3" t="s">
        <v>975</v>
      </c>
      <c r="B26" s="3" t="s">
        <v>974</v>
      </c>
      <c r="C26" s="3" t="s">
        <v>969</v>
      </c>
      <c r="D26" s="3" t="s">
        <v>969</v>
      </c>
      <c r="E26" s="3" t="s">
        <v>969</v>
      </c>
    </row>
    <row r="27" spans="1:5" x14ac:dyDescent="0.25">
      <c r="A27" s="3" t="s">
        <v>176</v>
      </c>
      <c r="B27" s="3" t="s">
        <v>175</v>
      </c>
      <c r="C27" s="3" t="s">
        <v>165</v>
      </c>
      <c r="D27" s="3" t="s">
        <v>166</v>
      </c>
      <c r="E27" s="3" t="s">
        <v>174</v>
      </c>
    </row>
    <row r="28" spans="1:5" x14ac:dyDescent="0.25">
      <c r="A28" s="3" t="s">
        <v>240</v>
      </c>
      <c r="B28" s="3" t="s">
        <v>240</v>
      </c>
      <c r="C28" s="3" t="s">
        <v>165</v>
      </c>
      <c r="D28" s="3" t="s">
        <v>238</v>
      </c>
      <c r="E28" s="3" t="s">
        <v>239</v>
      </c>
    </row>
    <row r="29" spans="1:5" x14ac:dyDescent="0.25">
      <c r="A29" s="3" t="s">
        <v>899</v>
      </c>
      <c r="B29" s="3" t="s">
        <v>898</v>
      </c>
      <c r="C29" s="3" t="s">
        <v>791</v>
      </c>
      <c r="D29" s="3" t="s">
        <v>887</v>
      </c>
      <c r="E29" s="3" t="s">
        <v>887</v>
      </c>
    </row>
    <row r="30" spans="1:5" x14ac:dyDescent="0.25">
      <c r="A30" s="3" t="s">
        <v>533</v>
      </c>
      <c r="B30" s="3" t="s">
        <v>532</v>
      </c>
      <c r="C30" s="3" t="s">
        <v>396</v>
      </c>
      <c r="D30" s="3" t="s">
        <v>528</v>
      </c>
      <c r="E30" s="3" t="s">
        <v>529</v>
      </c>
    </row>
    <row r="31" spans="1:5" x14ac:dyDescent="0.25">
      <c r="A31" s="3" t="s">
        <v>613</v>
      </c>
      <c r="B31" s="3" t="s">
        <v>612</v>
      </c>
      <c r="C31" s="3" t="s">
        <v>581</v>
      </c>
      <c r="D31" s="3" t="s">
        <v>611</v>
      </c>
      <c r="E31" s="3" t="s">
        <v>611</v>
      </c>
    </row>
    <row r="32" spans="1:5" x14ac:dyDescent="0.25">
      <c r="A32" s="3" t="s">
        <v>359</v>
      </c>
      <c r="B32" s="3" t="s">
        <v>358</v>
      </c>
      <c r="C32" s="3" t="s">
        <v>334</v>
      </c>
      <c r="D32" s="3" t="s">
        <v>347</v>
      </c>
      <c r="E32" s="3" t="s">
        <v>355</v>
      </c>
    </row>
    <row r="33" spans="1:5" x14ac:dyDescent="0.25">
      <c r="A33" s="3" t="s">
        <v>801</v>
      </c>
      <c r="B33" s="3" t="s">
        <v>800</v>
      </c>
      <c r="C33" s="3" t="s">
        <v>791</v>
      </c>
      <c r="D33" s="3" t="s">
        <v>792</v>
      </c>
      <c r="E33" s="3" t="s">
        <v>793</v>
      </c>
    </row>
    <row r="34" spans="1:5" x14ac:dyDescent="0.25">
      <c r="A34" s="3" t="s">
        <v>819</v>
      </c>
      <c r="B34" s="3" t="s">
        <v>818</v>
      </c>
      <c r="C34" s="3" t="s">
        <v>791</v>
      </c>
      <c r="D34" s="3" t="s">
        <v>792</v>
      </c>
      <c r="E34" s="3" t="s">
        <v>793</v>
      </c>
    </row>
    <row r="35" spans="1:5" x14ac:dyDescent="0.25">
      <c r="A35" s="3" t="s">
        <v>817</v>
      </c>
      <c r="B35" s="3" t="s">
        <v>816</v>
      </c>
      <c r="C35" s="3" t="s">
        <v>791</v>
      </c>
      <c r="D35" s="3" t="s">
        <v>792</v>
      </c>
      <c r="E35" s="3" t="s">
        <v>793</v>
      </c>
    </row>
    <row r="36" spans="1:5" x14ac:dyDescent="0.25">
      <c r="A36" s="3" t="s">
        <v>314</v>
      </c>
      <c r="B36" s="3" t="s">
        <v>313</v>
      </c>
      <c r="C36" s="3" t="s">
        <v>165</v>
      </c>
      <c r="D36" s="3" t="s">
        <v>182</v>
      </c>
      <c r="E36" s="3" t="s">
        <v>182</v>
      </c>
    </row>
    <row r="37" spans="1:5" x14ac:dyDescent="0.25">
      <c r="A37" s="3" t="s">
        <v>952</v>
      </c>
      <c r="B37" s="3" t="s">
        <v>951</v>
      </c>
      <c r="C37" s="3" t="s">
        <v>791</v>
      </c>
      <c r="D37" s="3" t="s">
        <v>921</v>
      </c>
      <c r="E37" s="3" t="s">
        <v>950</v>
      </c>
    </row>
    <row r="38" spans="1:5" x14ac:dyDescent="0.25">
      <c r="A38" s="3" t="s">
        <v>907</v>
      </c>
      <c r="B38" s="3" t="s">
        <v>906</v>
      </c>
      <c r="C38" s="3" t="s">
        <v>791</v>
      </c>
      <c r="D38" s="3" t="s">
        <v>902</v>
      </c>
      <c r="E38" s="3" t="s">
        <v>903</v>
      </c>
    </row>
    <row r="39" spans="1:5" s="4" customFormat="1" x14ac:dyDescent="0.25">
      <c r="A39" s="3" t="s">
        <v>215</v>
      </c>
      <c r="B39" s="3" t="s">
        <v>214</v>
      </c>
      <c r="C39" s="3" t="s">
        <v>165</v>
      </c>
      <c r="D39" s="3" t="s">
        <v>205</v>
      </c>
      <c r="E39" s="3" t="s">
        <v>211</v>
      </c>
    </row>
    <row r="40" spans="1:5" s="4" customFormat="1" x14ac:dyDescent="0.25">
      <c r="A40" s="3" t="s">
        <v>851</v>
      </c>
      <c r="B40" s="3" t="s">
        <v>850</v>
      </c>
      <c r="C40" s="3" t="s">
        <v>791</v>
      </c>
      <c r="D40" s="3" t="s">
        <v>792</v>
      </c>
      <c r="E40" s="3" t="s">
        <v>849</v>
      </c>
    </row>
    <row r="41" spans="1:5" x14ac:dyDescent="0.25">
      <c r="A41" s="3" t="s">
        <v>365</v>
      </c>
      <c r="B41" s="3" t="s">
        <v>364</v>
      </c>
      <c r="C41" s="3" t="s">
        <v>334</v>
      </c>
      <c r="D41" s="3" t="s">
        <v>347</v>
      </c>
      <c r="E41" s="3" t="s">
        <v>355</v>
      </c>
    </row>
    <row r="42" spans="1:5" x14ac:dyDescent="0.25">
      <c r="A42" s="3" t="s">
        <v>811</v>
      </c>
      <c r="B42" s="3" t="s">
        <v>810</v>
      </c>
      <c r="C42" s="3" t="s">
        <v>791</v>
      </c>
      <c r="D42" s="3" t="s">
        <v>792</v>
      </c>
      <c r="E42" s="3" t="s">
        <v>793</v>
      </c>
    </row>
    <row r="43" spans="1:5" x14ac:dyDescent="0.25">
      <c r="A43" s="3" t="s">
        <v>977</v>
      </c>
      <c r="B43" s="3" t="s">
        <v>976</v>
      </c>
      <c r="C43" s="3" t="s">
        <v>969</v>
      </c>
      <c r="D43" s="3" t="s">
        <v>969</v>
      </c>
      <c r="E43" s="3" t="s">
        <v>969</v>
      </c>
    </row>
    <row r="44" spans="1:5" x14ac:dyDescent="0.25">
      <c r="A44" s="3" t="s">
        <v>892</v>
      </c>
      <c r="B44" s="3" t="s">
        <v>891</v>
      </c>
      <c r="C44" s="3" t="s">
        <v>791</v>
      </c>
      <c r="D44" s="3" t="s">
        <v>887</v>
      </c>
      <c r="E44" s="3" t="s">
        <v>888</v>
      </c>
    </row>
    <row r="45" spans="1:5" x14ac:dyDescent="0.25">
      <c r="A45" s="3" t="s">
        <v>809</v>
      </c>
      <c r="B45" s="3" t="s">
        <v>808</v>
      </c>
      <c r="C45" s="3" t="s">
        <v>791</v>
      </c>
      <c r="D45" s="3" t="s">
        <v>792</v>
      </c>
      <c r="E45" s="3" t="s">
        <v>793</v>
      </c>
    </row>
    <row r="46" spans="1:5" x14ac:dyDescent="0.25">
      <c r="A46" s="3" t="s">
        <v>805</v>
      </c>
      <c r="B46" s="3" t="s">
        <v>804</v>
      </c>
      <c r="C46" s="3" t="s">
        <v>791</v>
      </c>
      <c r="D46" s="3" t="s">
        <v>792</v>
      </c>
      <c r="E46" s="3" t="s">
        <v>793</v>
      </c>
    </row>
    <row r="47" spans="1:5" x14ac:dyDescent="0.25">
      <c r="A47" s="3" t="s">
        <v>584</v>
      </c>
      <c r="B47" s="3" t="s">
        <v>583</v>
      </c>
      <c r="C47" s="3" t="s">
        <v>581</v>
      </c>
      <c r="D47" s="3" t="s">
        <v>582</v>
      </c>
      <c r="E47" s="3" t="s">
        <v>582</v>
      </c>
    </row>
    <row r="48" spans="1:5" x14ac:dyDescent="0.25">
      <c r="A48" s="3" t="s">
        <v>507</v>
      </c>
      <c r="B48" s="3" t="s">
        <v>506</v>
      </c>
      <c r="C48" s="3" t="s">
        <v>396</v>
      </c>
      <c r="D48" s="3" t="s">
        <v>501</v>
      </c>
      <c r="E48" s="3" t="s">
        <v>505</v>
      </c>
    </row>
    <row r="49" spans="1:5" x14ac:dyDescent="0.25">
      <c r="A49" s="3" t="s">
        <v>831</v>
      </c>
      <c r="B49" s="3" t="s">
        <v>830</v>
      </c>
      <c r="C49" s="3" t="s">
        <v>791</v>
      </c>
      <c r="D49" s="3" t="s">
        <v>792</v>
      </c>
      <c r="E49" s="3" t="s">
        <v>793</v>
      </c>
    </row>
    <row r="50" spans="1:5" x14ac:dyDescent="0.25">
      <c r="A50" s="3" t="s">
        <v>803</v>
      </c>
      <c r="B50" s="3" t="s">
        <v>802</v>
      </c>
      <c r="C50" s="3" t="s">
        <v>791</v>
      </c>
      <c r="D50" s="3" t="s">
        <v>792</v>
      </c>
      <c r="E50" s="3" t="s">
        <v>793</v>
      </c>
    </row>
    <row r="51" spans="1:5" ht="12.75" customHeight="1" x14ac:dyDescent="0.25">
      <c r="A51" s="3" t="s">
        <v>833</v>
      </c>
      <c r="B51" s="3" t="s">
        <v>832</v>
      </c>
      <c r="C51" s="3" t="s">
        <v>791</v>
      </c>
      <c r="D51" s="3" t="s">
        <v>792</v>
      </c>
      <c r="E51" s="3" t="s">
        <v>793</v>
      </c>
    </row>
    <row r="52" spans="1:5" x14ac:dyDescent="0.25">
      <c r="A52" s="3" t="s">
        <v>513</v>
      </c>
      <c r="B52" s="3" t="s">
        <v>512</v>
      </c>
      <c r="C52" s="3" t="s">
        <v>396</v>
      </c>
      <c r="D52" s="3" t="s">
        <v>510</v>
      </c>
      <c r="E52" s="3" t="s">
        <v>511</v>
      </c>
    </row>
    <row r="53" spans="1:5" x14ac:dyDescent="0.25">
      <c r="A53" s="3" t="s">
        <v>835</v>
      </c>
      <c r="B53" s="3" t="s">
        <v>834</v>
      </c>
      <c r="C53" s="3" t="s">
        <v>791</v>
      </c>
      <c r="D53" s="3" t="s">
        <v>792</v>
      </c>
      <c r="E53" s="3" t="s">
        <v>793</v>
      </c>
    </row>
    <row r="54" spans="1:5" x14ac:dyDescent="0.25">
      <c r="A54" s="3" t="s">
        <v>890</v>
      </c>
      <c r="B54" s="3" t="s">
        <v>889</v>
      </c>
      <c r="C54" s="3" t="s">
        <v>791</v>
      </c>
      <c r="D54" s="3" t="s">
        <v>887</v>
      </c>
      <c r="E54" s="3" t="s">
        <v>888</v>
      </c>
    </row>
    <row r="55" spans="1:5" ht="15" customHeight="1" x14ac:dyDescent="0.25">
      <c r="A55" s="3" t="s">
        <v>389</v>
      </c>
      <c r="B55" s="3" t="s">
        <v>388</v>
      </c>
      <c r="C55" s="3" t="s">
        <v>334</v>
      </c>
      <c r="D55" s="3" t="s">
        <v>383</v>
      </c>
      <c r="E55" s="3" t="s">
        <v>387</v>
      </c>
    </row>
    <row r="56" spans="1:5" x14ac:dyDescent="0.25">
      <c r="A56" s="3" t="s">
        <v>823</v>
      </c>
      <c r="B56" s="3" t="s">
        <v>822</v>
      </c>
      <c r="C56" s="3" t="s">
        <v>791</v>
      </c>
      <c r="D56" s="3" t="s">
        <v>792</v>
      </c>
      <c r="E56" s="3" t="s">
        <v>793</v>
      </c>
    </row>
    <row r="57" spans="1:5" x14ac:dyDescent="0.25">
      <c r="A57" s="3" t="s">
        <v>807</v>
      </c>
      <c r="B57" s="3" t="s">
        <v>806</v>
      </c>
      <c r="C57" s="3" t="s">
        <v>791</v>
      </c>
      <c r="D57" s="3" t="s">
        <v>792</v>
      </c>
      <c r="E57" s="3" t="s">
        <v>793</v>
      </c>
    </row>
    <row r="58" spans="1:5" x14ac:dyDescent="0.25">
      <c r="A58" s="3" t="s">
        <v>813</v>
      </c>
      <c r="B58" s="3" t="s">
        <v>812</v>
      </c>
      <c r="C58" s="3" t="s">
        <v>791</v>
      </c>
      <c r="D58" s="3" t="s">
        <v>792</v>
      </c>
      <c r="E58" s="3" t="s">
        <v>793</v>
      </c>
    </row>
    <row r="59" spans="1:5" ht="12.75" customHeight="1" x14ac:dyDescent="0.25">
      <c r="A59" s="3" t="s">
        <v>88</v>
      </c>
      <c r="B59" s="3" t="s">
        <v>87</v>
      </c>
      <c r="C59" s="3" t="s">
        <v>84</v>
      </c>
      <c r="D59" s="3" t="s">
        <v>85</v>
      </c>
      <c r="E59" s="3" t="s">
        <v>86</v>
      </c>
    </row>
    <row r="60" spans="1:5" x14ac:dyDescent="0.25">
      <c r="A60" s="3" t="s">
        <v>862</v>
      </c>
      <c r="B60" s="3" t="s">
        <v>861</v>
      </c>
      <c r="C60" s="3" t="s">
        <v>791</v>
      </c>
      <c r="D60" s="3" t="s">
        <v>856</v>
      </c>
      <c r="E60" s="3" t="s">
        <v>856</v>
      </c>
    </row>
    <row r="61" spans="1:5" x14ac:dyDescent="0.25">
      <c r="A61" s="3" t="s">
        <v>74</v>
      </c>
      <c r="B61" s="3" t="s">
        <v>73</v>
      </c>
      <c r="C61" s="3" t="s">
        <v>59</v>
      </c>
      <c r="D61" s="3" t="s">
        <v>59</v>
      </c>
      <c r="E61" s="3" t="s">
        <v>60</v>
      </c>
    </row>
    <row r="62" spans="1:5" x14ac:dyDescent="0.25">
      <c r="A62" s="3" t="s">
        <v>357</v>
      </c>
      <c r="B62" s="3" t="s">
        <v>356</v>
      </c>
      <c r="C62" s="3" t="s">
        <v>334</v>
      </c>
      <c r="D62" s="3" t="s">
        <v>347</v>
      </c>
      <c r="E62" s="3" t="s">
        <v>355</v>
      </c>
    </row>
    <row r="63" spans="1:5" x14ac:dyDescent="0.25">
      <c r="A63" s="3" t="s">
        <v>905</v>
      </c>
      <c r="B63" s="3" t="s">
        <v>904</v>
      </c>
      <c r="C63" s="3" t="s">
        <v>791</v>
      </c>
      <c r="D63" s="3" t="s">
        <v>902</v>
      </c>
      <c r="E63" s="3" t="s">
        <v>903</v>
      </c>
    </row>
    <row r="64" spans="1:5" x14ac:dyDescent="0.25">
      <c r="A64" s="3" t="s">
        <v>799</v>
      </c>
      <c r="B64" s="3" t="s">
        <v>798</v>
      </c>
      <c r="C64" s="3" t="s">
        <v>791</v>
      </c>
      <c r="D64" s="3" t="s">
        <v>792</v>
      </c>
      <c r="E64" s="3" t="s">
        <v>793</v>
      </c>
    </row>
    <row r="65" spans="1:5" x14ac:dyDescent="0.25">
      <c r="A65" s="3" t="s">
        <v>124</v>
      </c>
      <c r="B65" s="3" t="s">
        <v>123</v>
      </c>
      <c r="C65" s="3" t="s">
        <v>84</v>
      </c>
      <c r="D65" s="3" t="s">
        <v>121</v>
      </c>
      <c r="E65" s="3" t="s">
        <v>122</v>
      </c>
    </row>
    <row r="66" spans="1:5" x14ac:dyDescent="0.25">
      <c r="A66" s="3" t="s">
        <v>925</v>
      </c>
      <c r="B66" s="3" t="s">
        <v>924</v>
      </c>
      <c r="C66" s="3" t="s">
        <v>791</v>
      </c>
      <c r="D66" s="3" t="s">
        <v>921</v>
      </c>
      <c r="E66" s="3" t="s">
        <v>921</v>
      </c>
    </row>
    <row r="67" spans="1:5" x14ac:dyDescent="0.25">
      <c r="A67" s="3" t="s">
        <v>927</v>
      </c>
      <c r="B67" s="3" t="s">
        <v>926</v>
      </c>
      <c r="C67" s="3" t="s">
        <v>791</v>
      </c>
      <c r="D67" s="3" t="s">
        <v>921</v>
      </c>
      <c r="E67" s="3" t="s">
        <v>921</v>
      </c>
    </row>
    <row r="68" spans="1:5" x14ac:dyDescent="0.25">
      <c r="A68" s="3" t="s">
        <v>630</v>
      </c>
      <c r="B68" s="3" t="s">
        <v>629</v>
      </c>
      <c r="C68" s="3" t="s">
        <v>624</v>
      </c>
      <c r="D68" s="3" t="s">
        <v>628</v>
      </c>
      <c r="E68" s="3" t="s">
        <v>628</v>
      </c>
    </row>
    <row r="69" spans="1:5" x14ac:dyDescent="0.25">
      <c r="A69" s="3" t="s">
        <v>815</v>
      </c>
      <c r="B69" s="3" t="s">
        <v>814</v>
      </c>
      <c r="C69" s="3" t="s">
        <v>791</v>
      </c>
      <c r="D69" s="3" t="s">
        <v>792</v>
      </c>
      <c r="E69" s="3" t="s">
        <v>793</v>
      </c>
    </row>
    <row r="70" spans="1:5" x14ac:dyDescent="0.25">
      <c r="A70" s="3" t="s">
        <v>860</v>
      </c>
      <c r="B70" s="3" t="s">
        <v>859</v>
      </c>
      <c r="C70" s="3" t="s">
        <v>791</v>
      </c>
      <c r="D70" s="3" t="s">
        <v>856</v>
      </c>
      <c r="E70" s="3" t="s">
        <v>856</v>
      </c>
    </row>
    <row r="71" spans="1:5" x14ac:dyDescent="0.25">
      <c r="A71" s="3" t="s">
        <v>350</v>
      </c>
      <c r="B71" s="3" t="s">
        <v>349</v>
      </c>
      <c r="C71" s="3" t="s">
        <v>334</v>
      </c>
      <c r="D71" s="3" t="s">
        <v>347</v>
      </c>
      <c r="E71" s="3" t="s">
        <v>348</v>
      </c>
    </row>
    <row r="72" spans="1:5" x14ac:dyDescent="0.25">
      <c r="A72" s="3" t="s">
        <v>821</v>
      </c>
      <c r="B72" s="3" t="s">
        <v>820</v>
      </c>
      <c r="C72" s="3" t="s">
        <v>791</v>
      </c>
      <c r="D72" s="3" t="s">
        <v>792</v>
      </c>
      <c r="E72" s="3" t="s">
        <v>793</v>
      </c>
    </row>
    <row r="73" spans="1:5" x14ac:dyDescent="0.25">
      <c r="A73" s="3" t="s">
        <v>574</v>
      </c>
      <c r="B73" s="3" t="s">
        <v>573</v>
      </c>
      <c r="C73" s="3" t="s">
        <v>396</v>
      </c>
      <c r="D73" s="3" t="s">
        <v>327</v>
      </c>
      <c r="E73" s="3" t="s">
        <v>572</v>
      </c>
    </row>
    <row r="74" spans="1:5" x14ac:dyDescent="0.25">
      <c r="A74" s="3" t="s">
        <v>329</v>
      </c>
      <c r="B74" s="3" t="s">
        <v>328</v>
      </c>
      <c r="C74" s="3" t="s">
        <v>165</v>
      </c>
      <c r="D74" s="3" t="s">
        <v>327</v>
      </c>
      <c r="E74" s="3" t="s">
        <v>185</v>
      </c>
    </row>
    <row r="75" spans="1:5" x14ac:dyDescent="0.25">
      <c r="A75" s="3" t="s">
        <v>853</v>
      </c>
      <c r="B75" s="3" t="s">
        <v>852</v>
      </c>
      <c r="C75" s="3" t="s">
        <v>791</v>
      </c>
      <c r="D75" s="3" t="s">
        <v>792</v>
      </c>
      <c r="E75" s="3" t="s">
        <v>849</v>
      </c>
    </row>
    <row r="76" spans="1:5" x14ac:dyDescent="0.25">
      <c r="A76" s="3" t="s">
        <v>858</v>
      </c>
      <c r="B76" s="3" t="s">
        <v>857</v>
      </c>
      <c r="C76" s="3" t="s">
        <v>791</v>
      </c>
      <c r="D76" s="3" t="s">
        <v>856</v>
      </c>
      <c r="E76" s="3" t="s">
        <v>856</v>
      </c>
    </row>
    <row r="77" spans="1:5" x14ac:dyDescent="0.25">
      <c r="A77" s="3" t="s">
        <v>979</v>
      </c>
      <c r="B77" s="3" t="s">
        <v>978</v>
      </c>
      <c r="C77" s="3" t="s">
        <v>969</v>
      </c>
      <c r="D77" s="3" t="s">
        <v>969</v>
      </c>
      <c r="E77" s="3" t="s">
        <v>969</v>
      </c>
    </row>
    <row r="78" spans="1:5" x14ac:dyDescent="0.25">
      <c r="A78" s="3" t="s">
        <v>981</v>
      </c>
      <c r="B78" s="3" t="s">
        <v>980</v>
      </c>
      <c r="C78" s="3" t="s">
        <v>969</v>
      </c>
      <c r="D78" s="3" t="s">
        <v>969</v>
      </c>
      <c r="E78" s="3" t="s">
        <v>969</v>
      </c>
    </row>
    <row r="79" spans="1:5" x14ac:dyDescent="0.25">
      <c r="A79" s="3" t="s">
        <v>400</v>
      </c>
      <c r="B79" s="3" t="s">
        <v>399</v>
      </c>
      <c r="C79" s="3" t="s">
        <v>396</v>
      </c>
      <c r="D79" s="3" t="s">
        <v>397</v>
      </c>
      <c r="E79" s="3" t="s">
        <v>398</v>
      </c>
    </row>
    <row r="80" spans="1:5" x14ac:dyDescent="0.25">
      <c r="A80" s="3" t="s">
        <v>472</v>
      </c>
      <c r="B80" s="3" t="s">
        <v>471</v>
      </c>
      <c r="C80" s="3" t="s">
        <v>396</v>
      </c>
      <c r="D80" s="3" t="s">
        <v>441</v>
      </c>
      <c r="E80" s="3" t="s">
        <v>468</v>
      </c>
    </row>
    <row r="81" spans="1:5" x14ac:dyDescent="0.25">
      <c r="A81" s="3" t="s">
        <v>370</v>
      </c>
      <c r="B81" s="3" t="s">
        <v>369</v>
      </c>
      <c r="C81" s="3" t="s">
        <v>334</v>
      </c>
      <c r="D81" s="3" t="s">
        <v>347</v>
      </c>
      <c r="E81" s="3" t="s">
        <v>368</v>
      </c>
    </row>
    <row r="82" spans="1:5" x14ac:dyDescent="0.25">
      <c r="A82" s="3" t="s">
        <v>316</v>
      </c>
      <c r="B82" s="3" t="s">
        <v>315</v>
      </c>
      <c r="C82" s="3" t="s">
        <v>165</v>
      </c>
      <c r="D82" s="3" t="s">
        <v>182</v>
      </c>
      <c r="E82" s="3" t="s">
        <v>182</v>
      </c>
    </row>
    <row r="83" spans="1:5" x14ac:dyDescent="0.25">
      <c r="A83" s="3" t="s">
        <v>775</v>
      </c>
      <c r="B83" s="3" t="s">
        <v>774</v>
      </c>
      <c r="C83" s="3" t="s">
        <v>657</v>
      </c>
      <c r="D83" s="3" t="s">
        <v>773</v>
      </c>
      <c r="E83" s="3" t="s">
        <v>773</v>
      </c>
    </row>
    <row r="84" spans="1:5" x14ac:dyDescent="0.25">
      <c r="A84" s="3" t="s">
        <v>452</v>
      </c>
      <c r="B84" s="3" t="s">
        <v>451</v>
      </c>
      <c r="C84" s="3" t="s">
        <v>396</v>
      </c>
      <c r="D84" s="3" t="s">
        <v>441</v>
      </c>
      <c r="E84" s="3" t="s">
        <v>442</v>
      </c>
    </row>
    <row r="85" spans="1:5" x14ac:dyDescent="0.25">
      <c r="A85" s="3" t="s">
        <v>668</v>
      </c>
      <c r="B85" s="3" t="s">
        <v>667</v>
      </c>
      <c r="C85" s="3" t="s">
        <v>657</v>
      </c>
      <c r="D85" s="3" t="s">
        <v>658</v>
      </c>
      <c r="E85" s="3" t="s">
        <v>658</v>
      </c>
    </row>
    <row r="86" spans="1:5" ht="12.75" customHeight="1" x14ac:dyDescent="0.25">
      <c r="A86" s="3" t="s">
        <v>866</v>
      </c>
      <c r="B86" s="3" t="s">
        <v>865</v>
      </c>
      <c r="C86" s="3" t="s">
        <v>791</v>
      </c>
      <c r="D86" s="3" t="s">
        <v>856</v>
      </c>
      <c r="E86" s="3" t="s">
        <v>856</v>
      </c>
    </row>
    <row r="87" spans="1:5" ht="12.75" customHeight="1" x14ac:dyDescent="0.25">
      <c r="A87" s="3" t="s">
        <v>931</v>
      </c>
      <c r="B87" s="3" t="s">
        <v>930</v>
      </c>
      <c r="C87" s="3" t="s">
        <v>791</v>
      </c>
      <c r="D87" s="3" t="s">
        <v>921</v>
      </c>
      <c r="E87" s="3" t="s">
        <v>921</v>
      </c>
    </row>
    <row r="88" spans="1:5" ht="12.75" customHeight="1" x14ac:dyDescent="0.25">
      <c r="A88" s="3" t="s">
        <v>270</v>
      </c>
      <c r="B88" s="3" t="s">
        <v>269</v>
      </c>
      <c r="C88" s="3" t="s">
        <v>165</v>
      </c>
      <c r="D88" s="3" t="s">
        <v>238</v>
      </c>
      <c r="E88" s="3" t="s">
        <v>266</v>
      </c>
    </row>
    <row r="89" spans="1:5" ht="12.75" customHeight="1" x14ac:dyDescent="0.25">
      <c r="A89" s="3" t="s">
        <v>557</v>
      </c>
      <c r="B89" s="3" t="s">
        <v>556</v>
      </c>
      <c r="C89" s="3" t="s">
        <v>396</v>
      </c>
      <c r="D89" s="3" t="s">
        <v>327</v>
      </c>
      <c r="E89" s="3" t="s">
        <v>441</v>
      </c>
    </row>
    <row r="90" spans="1:5" ht="12.75" customHeight="1" x14ac:dyDescent="0.25">
      <c r="A90" s="3" t="s">
        <v>672</v>
      </c>
      <c r="B90" s="3" t="s">
        <v>671</v>
      </c>
      <c r="C90" s="3" t="s">
        <v>657</v>
      </c>
      <c r="D90" s="3" t="s">
        <v>658</v>
      </c>
      <c r="E90" s="3" t="s">
        <v>658</v>
      </c>
    </row>
    <row r="91" spans="1:5" ht="12.75" customHeight="1" x14ac:dyDescent="0.25">
      <c r="A91" s="3" t="s">
        <v>444</v>
      </c>
      <c r="B91" s="3" t="s">
        <v>443</v>
      </c>
      <c r="C91" s="3" t="s">
        <v>396</v>
      </c>
      <c r="D91" s="3" t="s">
        <v>441</v>
      </c>
      <c r="E91" s="3" t="s">
        <v>442</v>
      </c>
    </row>
    <row r="92" spans="1:5" ht="12.75" customHeight="1" x14ac:dyDescent="0.25">
      <c r="A92" s="3" t="s">
        <v>692</v>
      </c>
      <c r="B92" s="3" t="s">
        <v>691</v>
      </c>
      <c r="C92" s="3" t="s">
        <v>657</v>
      </c>
      <c r="D92" s="3" t="s">
        <v>658</v>
      </c>
      <c r="E92" s="3" t="s">
        <v>658</v>
      </c>
    </row>
    <row r="93" spans="1:5" x14ac:dyDescent="0.25">
      <c r="A93" s="3" t="s">
        <v>674</v>
      </c>
      <c r="B93" s="3" t="s">
        <v>673</v>
      </c>
      <c r="C93" s="3" t="s">
        <v>657</v>
      </c>
      <c r="D93" s="3" t="s">
        <v>658</v>
      </c>
      <c r="E93" s="3" t="s">
        <v>658</v>
      </c>
    </row>
    <row r="94" spans="1:5" x14ac:dyDescent="0.25">
      <c r="A94" s="3" t="s">
        <v>788</v>
      </c>
      <c r="B94" s="3" t="s">
        <v>787</v>
      </c>
      <c r="C94" s="3" t="s">
        <v>657</v>
      </c>
      <c r="D94" s="3" t="s">
        <v>786</v>
      </c>
      <c r="E94" s="3" t="s">
        <v>786</v>
      </c>
    </row>
    <row r="95" spans="1:5" x14ac:dyDescent="0.25">
      <c r="A95" s="3" t="s">
        <v>682</v>
      </c>
      <c r="B95" s="3" t="s">
        <v>681</v>
      </c>
      <c r="C95" s="3" t="s">
        <v>657</v>
      </c>
      <c r="D95" s="3" t="s">
        <v>658</v>
      </c>
      <c r="E95" s="3" t="s">
        <v>658</v>
      </c>
    </row>
    <row r="96" spans="1:5" x14ac:dyDescent="0.25">
      <c r="A96" s="3" t="s">
        <v>690</v>
      </c>
      <c r="B96" s="3" t="s">
        <v>689</v>
      </c>
      <c r="C96" s="3" t="s">
        <v>657</v>
      </c>
      <c r="D96" s="3" t="s">
        <v>658</v>
      </c>
      <c r="E96" s="3" t="s">
        <v>658</v>
      </c>
    </row>
    <row r="97" spans="1:5" x14ac:dyDescent="0.25">
      <c r="A97" s="3" t="s">
        <v>790</v>
      </c>
      <c r="B97" s="3" t="s">
        <v>789</v>
      </c>
      <c r="C97" s="3" t="s">
        <v>657</v>
      </c>
      <c r="D97" s="3" t="s">
        <v>786</v>
      </c>
      <c r="E97" s="3" t="s">
        <v>786</v>
      </c>
    </row>
    <row r="98" spans="1:5" x14ac:dyDescent="0.25">
      <c r="A98" s="3" t="s">
        <v>559</v>
      </c>
      <c r="B98" s="3" t="s">
        <v>558</v>
      </c>
      <c r="C98" s="3" t="s">
        <v>396</v>
      </c>
      <c r="D98" s="3" t="s">
        <v>327</v>
      </c>
      <c r="E98" s="3" t="s">
        <v>441</v>
      </c>
    </row>
    <row r="99" spans="1:5" x14ac:dyDescent="0.25">
      <c r="A99" s="3" t="s">
        <v>901</v>
      </c>
      <c r="B99" s="3" t="s">
        <v>900</v>
      </c>
      <c r="C99" s="3" t="s">
        <v>791</v>
      </c>
      <c r="D99" s="3" t="s">
        <v>887</v>
      </c>
      <c r="E99" s="3" t="s">
        <v>887</v>
      </c>
    </row>
    <row r="100" spans="1:5" x14ac:dyDescent="0.25">
      <c r="A100" s="3" t="s">
        <v>678</v>
      </c>
      <c r="B100" s="3" t="s">
        <v>677</v>
      </c>
      <c r="C100" s="3" t="s">
        <v>657</v>
      </c>
      <c r="D100" s="3" t="s">
        <v>658</v>
      </c>
      <c r="E100" s="3" t="s">
        <v>658</v>
      </c>
    </row>
    <row r="101" spans="1:5" x14ac:dyDescent="0.25">
      <c r="A101" s="3" t="s">
        <v>686</v>
      </c>
      <c r="B101" s="3" t="s">
        <v>685</v>
      </c>
      <c r="C101" s="3" t="s">
        <v>657</v>
      </c>
      <c r="D101" s="3" t="s">
        <v>658</v>
      </c>
      <c r="E101" s="3" t="s">
        <v>658</v>
      </c>
    </row>
    <row r="102" spans="1:5" x14ac:dyDescent="0.25">
      <c r="A102" s="3" t="s">
        <v>688</v>
      </c>
      <c r="B102" s="3" t="s">
        <v>687</v>
      </c>
      <c r="C102" s="3" t="s">
        <v>657</v>
      </c>
      <c r="D102" s="3" t="s">
        <v>658</v>
      </c>
      <c r="E102" s="3" t="s">
        <v>658</v>
      </c>
    </row>
    <row r="103" spans="1:5" x14ac:dyDescent="0.25">
      <c r="A103" s="3" t="s">
        <v>684</v>
      </c>
      <c r="B103" s="3" t="s">
        <v>683</v>
      </c>
      <c r="C103" s="3" t="s">
        <v>657</v>
      </c>
      <c r="D103" s="3" t="s">
        <v>658</v>
      </c>
      <c r="E103" s="3" t="s">
        <v>658</v>
      </c>
    </row>
    <row r="104" spans="1:5" x14ac:dyDescent="0.25">
      <c r="A104" s="3" t="s">
        <v>987</v>
      </c>
      <c r="B104" s="3" t="s">
        <v>986</v>
      </c>
      <c r="C104" s="3" t="s">
        <v>969</v>
      </c>
      <c r="D104" s="3" t="s">
        <v>969</v>
      </c>
      <c r="E104" s="3" t="s">
        <v>969</v>
      </c>
    </row>
    <row r="105" spans="1:5" x14ac:dyDescent="0.25">
      <c r="A105" s="3" t="s">
        <v>656</v>
      </c>
      <c r="B105" s="3" t="s">
        <v>655</v>
      </c>
      <c r="C105" s="3" t="s">
        <v>640</v>
      </c>
      <c r="D105" s="3" t="s">
        <v>653</v>
      </c>
      <c r="E105" s="3" t="s">
        <v>654</v>
      </c>
    </row>
    <row r="106" spans="1:5" x14ac:dyDescent="0.25">
      <c r="A106" s="3" t="s">
        <v>576</v>
      </c>
      <c r="B106" s="3" t="s">
        <v>575</v>
      </c>
      <c r="C106" s="3" t="s">
        <v>396</v>
      </c>
      <c r="D106" s="3" t="s">
        <v>327</v>
      </c>
      <c r="E106" s="3" t="s">
        <v>572</v>
      </c>
    </row>
    <row r="107" spans="1:5" x14ac:dyDescent="0.25">
      <c r="A107" s="3" t="s">
        <v>694</v>
      </c>
      <c r="B107" s="3" t="s">
        <v>693</v>
      </c>
      <c r="C107" s="3" t="s">
        <v>657</v>
      </c>
      <c r="D107" s="3" t="s">
        <v>658</v>
      </c>
      <c r="E107" s="3" t="s">
        <v>658</v>
      </c>
    </row>
    <row r="108" spans="1:5" x14ac:dyDescent="0.25">
      <c r="A108" s="3" t="s">
        <v>58</v>
      </c>
      <c r="B108" s="3">
        <v>0</v>
      </c>
      <c r="C108" s="3" t="s">
        <v>59</v>
      </c>
      <c r="D108" s="3" t="s">
        <v>59</v>
      </c>
      <c r="E108" s="3" t="s">
        <v>79</v>
      </c>
    </row>
    <row r="109" spans="1:5" x14ac:dyDescent="0.25">
      <c r="A109" s="3" t="s">
        <v>58</v>
      </c>
      <c r="B109" s="3">
        <v>0</v>
      </c>
      <c r="C109" s="3" t="s">
        <v>84</v>
      </c>
      <c r="D109" s="3" t="s">
        <v>162</v>
      </c>
      <c r="E109" s="3" t="s">
        <v>162</v>
      </c>
    </row>
    <row r="110" spans="1:5" x14ac:dyDescent="0.25">
      <c r="A110" s="3" t="s">
        <v>58</v>
      </c>
      <c r="B110" s="3">
        <v>0</v>
      </c>
      <c r="C110" s="3" t="s">
        <v>165</v>
      </c>
      <c r="D110" s="3" t="s">
        <v>327</v>
      </c>
      <c r="E110" s="3" t="s">
        <v>185</v>
      </c>
    </row>
    <row r="111" spans="1:5" x14ac:dyDescent="0.25">
      <c r="A111" s="3" t="s">
        <v>58</v>
      </c>
      <c r="B111" s="3">
        <v>0</v>
      </c>
      <c r="C111" s="3" t="s">
        <v>334</v>
      </c>
      <c r="D111" s="3" t="s">
        <v>390</v>
      </c>
      <c r="E111" s="3" t="s">
        <v>391</v>
      </c>
    </row>
    <row r="112" spans="1:5" x14ac:dyDescent="0.25">
      <c r="A112" s="3" t="s">
        <v>58</v>
      </c>
      <c r="B112" s="3">
        <v>0</v>
      </c>
      <c r="C112" s="3" t="s">
        <v>396</v>
      </c>
      <c r="D112" s="3" t="s">
        <v>441</v>
      </c>
      <c r="E112" s="3" t="s">
        <v>477</v>
      </c>
    </row>
    <row r="113" spans="1:5" x14ac:dyDescent="0.25">
      <c r="A113" s="3" t="s">
        <v>58</v>
      </c>
      <c r="B113" s="3">
        <v>0</v>
      </c>
      <c r="C113" s="3" t="s">
        <v>396</v>
      </c>
      <c r="D113" s="3" t="s">
        <v>327</v>
      </c>
      <c r="E113" s="3" t="s">
        <v>572</v>
      </c>
    </row>
    <row r="114" spans="1:5" ht="12.75" customHeight="1" x14ac:dyDescent="0.25">
      <c r="A114" s="3" t="s">
        <v>58</v>
      </c>
      <c r="B114" s="3">
        <v>0</v>
      </c>
      <c r="C114" s="3" t="s">
        <v>581</v>
      </c>
      <c r="D114" s="3" t="s">
        <v>390</v>
      </c>
      <c r="E114" s="3" t="s">
        <v>582</v>
      </c>
    </row>
    <row r="115" spans="1:5" ht="12.75" customHeight="1" x14ac:dyDescent="0.25">
      <c r="A115" s="3" t="s">
        <v>58</v>
      </c>
      <c r="B115" s="3">
        <v>0</v>
      </c>
      <c r="C115" s="3" t="s">
        <v>624</v>
      </c>
      <c r="D115" s="3" t="s">
        <v>628</v>
      </c>
      <c r="E115" s="3" t="s">
        <v>628</v>
      </c>
    </row>
    <row r="116" spans="1:5" ht="12.75" customHeight="1" x14ac:dyDescent="0.25">
      <c r="A116" s="3" t="s">
        <v>58</v>
      </c>
      <c r="B116" s="3">
        <v>0</v>
      </c>
      <c r="C116" s="3" t="s">
        <v>640</v>
      </c>
      <c r="D116" s="3" t="s">
        <v>653</v>
      </c>
      <c r="E116" s="3" t="s">
        <v>654</v>
      </c>
    </row>
    <row r="117" spans="1:5" ht="12.75" customHeight="1" x14ac:dyDescent="0.25">
      <c r="A117" s="3" t="s">
        <v>58</v>
      </c>
      <c r="B117" s="3">
        <v>0</v>
      </c>
      <c r="C117" s="3" t="s">
        <v>657</v>
      </c>
      <c r="D117" s="3" t="s">
        <v>786</v>
      </c>
      <c r="E117" s="3" t="s">
        <v>786</v>
      </c>
    </row>
    <row r="118" spans="1:5" ht="12.75" customHeight="1" x14ac:dyDescent="0.25">
      <c r="A118" s="3" t="s">
        <v>58</v>
      </c>
      <c r="B118" s="3">
        <v>0</v>
      </c>
      <c r="C118" s="3" t="s">
        <v>791</v>
      </c>
      <c r="D118" s="3" t="s">
        <v>902</v>
      </c>
      <c r="E118" s="3" t="s">
        <v>916</v>
      </c>
    </row>
    <row r="119" spans="1:5" ht="12.75" customHeight="1" x14ac:dyDescent="0.25">
      <c r="A119" s="3" t="s">
        <v>58</v>
      </c>
      <c r="B119" s="3">
        <v>0</v>
      </c>
      <c r="C119" s="3" t="s">
        <v>791</v>
      </c>
      <c r="D119" s="3" t="s">
        <v>962</v>
      </c>
      <c r="E119" s="3" t="s">
        <v>962</v>
      </c>
    </row>
    <row r="120" spans="1:5" ht="12.75" customHeight="1" x14ac:dyDescent="0.25">
      <c r="A120" s="3" t="s">
        <v>535</v>
      </c>
      <c r="B120" s="3" t="s">
        <v>534</v>
      </c>
      <c r="C120" s="3" t="s">
        <v>396</v>
      </c>
      <c r="D120" s="3" t="s">
        <v>528</v>
      </c>
      <c r="E120" s="3" t="s">
        <v>529</v>
      </c>
    </row>
    <row r="121" spans="1:5" ht="12.75" customHeight="1" x14ac:dyDescent="0.25">
      <c r="A121" s="3" t="s">
        <v>286</v>
      </c>
      <c r="B121" s="3" t="s">
        <v>285</v>
      </c>
      <c r="C121" s="3" t="s">
        <v>165</v>
      </c>
      <c r="D121" s="3" t="s">
        <v>238</v>
      </c>
      <c r="E121" s="3" t="s">
        <v>266</v>
      </c>
    </row>
    <row r="122" spans="1:5" ht="12.75" customHeight="1" x14ac:dyDescent="0.25">
      <c r="A122" s="3" t="s">
        <v>929</v>
      </c>
      <c r="B122" s="3" t="s">
        <v>928</v>
      </c>
      <c r="C122" s="3" t="s">
        <v>791</v>
      </c>
      <c r="D122" s="3" t="s">
        <v>921</v>
      </c>
      <c r="E122" s="3" t="s">
        <v>921</v>
      </c>
    </row>
    <row r="123" spans="1:5" ht="12.75" customHeight="1" x14ac:dyDescent="0.25">
      <c r="A123" s="3" t="s">
        <v>700</v>
      </c>
      <c r="B123" s="3" t="s">
        <v>699</v>
      </c>
      <c r="C123" s="3" t="s">
        <v>657</v>
      </c>
      <c r="D123" s="3" t="s">
        <v>658</v>
      </c>
      <c r="E123" s="3" t="s">
        <v>658</v>
      </c>
    </row>
    <row r="124" spans="1:5" ht="12.75" customHeight="1" x14ac:dyDescent="0.25">
      <c r="A124" s="3" t="s">
        <v>702</v>
      </c>
      <c r="B124" s="3" t="s">
        <v>701</v>
      </c>
      <c r="C124" s="3" t="s">
        <v>657</v>
      </c>
      <c r="D124" s="3" t="s">
        <v>658</v>
      </c>
      <c r="E124" s="3" t="s">
        <v>658</v>
      </c>
    </row>
    <row r="125" spans="1:5" ht="12.75" customHeight="1" x14ac:dyDescent="0.25">
      <c r="A125" s="3" t="s">
        <v>704</v>
      </c>
      <c r="B125" s="3" t="s">
        <v>703</v>
      </c>
      <c r="C125" s="3" t="s">
        <v>657</v>
      </c>
      <c r="D125" s="3" t="s">
        <v>658</v>
      </c>
      <c r="E125" s="3" t="s">
        <v>658</v>
      </c>
    </row>
    <row r="126" spans="1:5" ht="12.75" customHeight="1" x14ac:dyDescent="0.25">
      <c r="A126" s="3" t="s">
        <v>696</v>
      </c>
      <c r="B126" s="3" t="s">
        <v>695</v>
      </c>
      <c r="C126" s="3" t="s">
        <v>657</v>
      </c>
      <c r="D126" s="3" t="s">
        <v>658</v>
      </c>
      <c r="E126" s="3" t="s">
        <v>658</v>
      </c>
    </row>
    <row r="127" spans="1:5" ht="12.75" customHeight="1" x14ac:dyDescent="0.25">
      <c r="A127" s="3" t="s">
        <v>706</v>
      </c>
      <c r="B127" s="3" t="s">
        <v>705</v>
      </c>
      <c r="C127" s="3" t="s">
        <v>657</v>
      </c>
      <c r="D127" s="3" t="s">
        <v>658</v>
      </c>
      <c r="E127" s="3" t="s">
        <v>658</v>
      </c>
    </row>
    <row r="128" spans="1:5" ht="12.75" customHeight="1" x14ac:dyDescent="0.25">
      <c r="A128" s="3" t="s">
        <v>670</v>
      </c>
      <c r="B128" s="3" t="s">
        <v>669</v>
      </c>
      <c r="C128" s="3" t="s">
        <v>657</v>
      </c>
      <c r="D128" s="3" t="s">
        <v>658</v>
      </c>
      <c r="E128" s="3" t="s">
        <v>658</v>
      </c>
    </row>
    <row r="129" spans="1:5" ht="12.75" customHeight="1" x14ac:dyDescent="0.25">
      <c r="A129" s="3" t="s">
        <v>983</v>
      </c>
      <c r="B129" s="3" t="s">
        <v>982</v>
      </c>
      <c r="C129" s="3" t="s">
        <v>969</v>
      </c>
      <c r="D129" s="3" t="s">
        <v>969</v>
      </c>
      <c r="E129" s="3" t="s">
        <v>969</v>
      </c>
    </row>
    <row r="130" spans="1:5" ht="12.75" customHeight="1" x14ac:dyDescent="0.25">
      <c r="A130" s="3" t="s">
        <v>290</v>
      </c>
      <c r="B130" s="3" t="s">
        <v>289</v>
      </c>
      <c r="C130" s="3" t="s">
        <v>165</v>
      </c>
      <c r="D130" s="3" t="s">
        <v>238</v>
      </c>
      <c r="E130" s="3" t="s">
        <v>266</v>
      </c>
    </row>
    <row r="131" spans="1:5" ht="12.75" customHeight="1" x14ac:dyDescent="0.25">
      <c r="A131" s="3" t="s">
        <v>402</v>
      </c>
      <c r="B131" s="3" t="s">
        <v>401</v>
      </c>
      <c r="C131" s="3" t="s">
        <v>396</v>
      </c>
      <c r="D131" s="3" t="s">
        <v>397</v>
      </c>
      <c r="E131" s="3" t="s">
        <v>398</v>
      </c>
    </row>
    <row r="132" spans="1:5" ht="12.75" customHeight="1" x14ac:dyDescent="0.25">
      <c r="A132" s="3" t="s">
        <v>393</v>
      </c>
      <c r="B132" s="3" t="s">
        <v>392</v>
      </c>
      <c r="C132" s="3" t="s">
        <v>334</v>
      </c>
      <c r="D132" s="3" t="s">
        <v>390</v>
      </c>
      <c r="E132" s="3" t="s">
        <v>391</v>
      </c>
    </row>
    <row r="133" spans="1:5" ht="12.75" customHeight="1" x14ac:dyDescent="0.25">
      <c r="A133" s="3" t="s">
        <v>844</v>
      </c>
      <c r="B133" s="3" t="s">
        <v>843</v>
      </c>
      <c r="C133" s="3" t="s">
        <v>791</v>
      </c>
      <c r="D133" s="3" t="s">
        <v>792</v>
      </c>
      <c r="E133" s="3" t="s">
        <v>842</v>
      </c>
    </row>
    <row r="134" spans="1:5" ht="12.75" customHeight="1" x14ac:dyDescent="0.25">
      <c r="A134" s="3" t="s">
        <v>137</v>
      </c>
      <c r="B134" s="3" t="s">
        <v>136</v>
      </c>
      <c r="C134" s="3" t="s">
        <v>84</v>
      </c>
      <c r="D134" s="3" t="s">
        <v>121</v>
      </c>
      <c r="E134" s="3" t="s">
        <v>135</v>
      </c>
    </row>
    <row r="135" spans="1:5" ht="12.75" customHeight="1" x14ac:dyDescent="0.25">
      <c r="A135" s="3" t="s">
        <v>274</v>
      </c>
      <c r="B135" s="3" t="s">
        <v>273</v>
      </c>
      <c r="C135" s="3" t="s">
        <v>165</v>
      </c>
      <c r="D135" s="3" t="s">
        <v>238</v>
      </c>
      <c r="E135" s="3" t="s">
        <v>266</v>
      </c>
    </row>
    <row r="136" spans="1:5" ht="12.75" customHeight="1" x14ac:dyDescent="0.25">
      <c r="A136" s="3" t="s">
        <v>913</v>
      </c>
      <c r="B136" s="3" t="s">
        <v>912</v>
      </c>
      <c r="C136" s="3" t="s">
        <v>791</v>
      </c>
      <c r="D136" s="3" t="s">
        <v>902</v>
      </c>
      <c r="E136" s="3" t="s">
        <v>903</v>
      </c>
    </row>
    <row r="137" spans="1:5" ht="12.75" customHeight="1" x14ac:dyDescent="0.25">
      <c r="A137" s="3" t="s">
        <v>62</v>
      </c>
      <c r="B137" s="3" t="s">
        <v>61</v>
      </c>
      <c r="C137" s="3" t="s">
        <v>59</v>
      </c>
      <c r="D137" s="3" t="s">
        <v>59</v>
      </c>
      <c r="E137" s="3" t="s">
        <v>60</v>
      </c>
    </row>
    <row r="138" spans="1:5" ht="12.75" customHeight="1" x14ac:dyDescent="0.25">
      <c r="A138" s="3" t="s">
        <v>777</v>
      </c>
      <c r="B138" s="3" t="s">
        <v>776</v>
      </c>
      <c r="C138" s="3" t="s">
        <v>657</v>
      </c>
      <c r="D138" s="3" t="s">
        <v>773</v>
      </c>
      <c r="E138" s="3" t="s">
        <v>773</v>
      </c>
    </row>
    <row r="139" spans="1:5" ht="12.75" customHeight="1" x14ac:dyDescent="0.25">
      <c r="A139" s="3" t="s">
        <v>108</v>
      </c>
      <c r="B139" s="3" t="s">
        <v>107</v>
      </c>
      <c r="C139" s="3" t="s">
        <v>84</v>
      </c>
      <c r="D139" s="3" t="s">
        <v>99</v>
      </c>
      <c r="E139" s="3" t="s">
        <v>100</v>
      </c>
    </row>
    <row r="140" spans="1:5" ht="12.75" customHeight="1" x14ac:dyDescent="0.25">
      <c r="A140" s="3" t="s">
        <v>698</v>
      </c>
      <c r="B140" s="3" t="s">
        <v>697</v>
      </c>
      <c r="C140" s="3" t="s">
        <v>657</v>
      </c>
      <c r="D140" s="3" t="s">
        <v>658</v>
      </c>
      <c r="E140" s="3" t="s">
        <v>658</v>
      </c>
    </row>
    <row r="141" spans="1:5" ht="12.75" customHeight="1" x14ac:dyDescent="0.25">
      <c r="A141" s="3" t="s">
        <v>964</v>
      </c>
      <c r="B141" s="3" t="s">
        <v>963</v>
      </c>
      <c r="C141" s="3" t="s">
        <v>791</v>
      </c>
      <c r="D141" s="3" t="s">
        <v>962</v>
      </c>
      <c r="E141" s="3" t="s">
        <v>962</v>
      </c>
    </row>
    <row r="142" spans="1:5" ht="12.75" customHeight="1" x14ac:dyDescent="0.25">
      <c r="A142" s="3" t="s">
        <v>454</v>
      </c>
      <c r="B142" s="3" t="s">
        <v>453</v>
      </c>
      <c r="C142" s="3" t="s">
        <v>396</v>
      </c>
      <c r="D142" s="3" t="s">
        <v>441</v>
      </c>
      <c r="E142" s="3" t="s">
        <v>442</v>
      </c>
    </row>
    <row r="143" spans="1:5" ht="12.75" customHeight="1" x14ac:dyDescent="0.25">
      <c r="A143" s="3" t="s">
        <v>446</v>
      </c>
      <c r="B143" s="3" t="s">
        <v>445</v>
      </c>
      <c r="C143" s="3" t="s">
        <v>396</v>
      </c>
      <c r="D143" s="3" t="s">
        <v>441</v>
      </c>
      <c r="E143" s="3" t="s">
        <v>442</v>
      </c>
    </row>
    <row r="144" spans="1:5" ht="12.75" customHeight="1" x14ac:dyDescent="0.25">
      <c r="A144" s="3" t="s">
        <v>458</v>
      </c>
      <c r="B144" s="3" t="s">
        <v>457</v>
      </c>
      <c r="C144" s="3" t="s">
        <v>396</v>
      </c>
      <c r="D144" s="3" t="s">
        <v>441</v>
      </c>
      <c r="E144" s="3" t="s">
        <v>442</v>
      </c>
    </row>
    <row r="145" spans="1:5" ht="12.75" customHeight="1" x14ac:dyDescent="0.25">
      <c r="A145" s="3" t="s">
        <v>524</v>
      </c>
      <c r="B145" s="3" t="s">
        <v>523</v>
      </c>
      <c r="C145" s="3" t="s">
        <v>396</v>
      </c>
      <c r="D145" s="3" t="s">
        <v>510</v>
      </c>
      <c r="E145" s="3" t="s">
        <v>522</v>
      </c>
    </row>
    <row r="146" spans="1:5" ht="12.75" customHeight="1" x14ac:dyDescent="0.25">
      <c r="A146" s="3" t="s">
        <v>404</v>
      </c>
      <c r="B146" s="3" t="s">
        <v>403</v>
      </c>
      <c r="C146" s="3" t="s">
        <v>396</v>
      </c>
      <c r="D146" s="3" t="s">
        <v>397</v>
      </c>
      <c r="E146" s="3" t="s">
        <v>398</v>
      </c>
    </row>
    <row r="147" spans="1:5" x14ac:dyDescent="0.25">
      <c r="A147" s="3" t="s">
        <v>598</v>
      </c>
      <c r="B147" s="3" t="s">
        <v>597</v>
      </c>
      <c r="C147" s="3" t="s">
        <v>581</v>
      </c>
      <c r="D147" s="3" t="s">
        <v>592</v>
      </c>
      <c r="E147" s="3" t="s">
        <v>592</v>
      </c>
    </row>
    <row r="148" spans="1:5" x14ac:dyDescent="0.25">
      <c r="A148" s="3" t="s">
        <v>855</v>
      </c>
      <c r="B148" s="3" t="s">
        <v>854</v>
      </c>
      <c r="C148" s="3" t="s">
        <v>791</v>
      </c>
      <c r="D148" s="3" t="s">
        <v>792</v>
      </c>
      <c r="E148" s="3" t="s">
        <v>849</v>
      </c>
    </row>
    <row r="149" spans="1:5" x14ac:dyDescent="0.25">
      <c r="A149" s="3" t="s">
        <v>406</v>
      </c>
      <c r="B149" s="3" t="s">
        <v>405</v>
      </c>
      <c r="C149" s="3" t="s">
        <v>396</v>
      </c>
      <c r="D149" s="3" t="s">
        <v>397</v>
      </c>
      <c r="E149" s="3" t="s">
        <v>398</v>
      </c>
    </row>
    <row r="150" spans="1:5" ht="12.75" customHeight="1" x14ac:dyDescent="0.25">
      <c r="A150" s="3" t="s">
        <v>65</v>
      </c>
      <c r="B150" s="3" t="s">
        <v>64</v>
      </c>
      <c r="C150" s="3" t="s">
        <v>59</v>
      </c>
      <c r="D150" s="3" t="s">
        <v>59</v>
      </c>
      <c r="E150" s="3" t="s">
        <v>60</v>
      </c>
    </row>
    <row r="151" spans="1:5" ht="12.75" customHeight="1" x14ac:dyDescent="0.25">
      <c r="A151" s="3" t="s">
        <v>448</v>
      </c>
      <c r="B151" s="3" t="s">
        <v>447</v>
      </c>
      <c r="C151" s="3" t="s">
        <v>396</v>
      </c>
      <c r="D151" s="3" t="s">
        <v>441</v>
      </c>
      <c r="E151" s="3" t="s">
        <v>442</v>
      </c>
    </row>
    <row r="152" spans="1:5" ht="12.75" customHeight="1" x14ac:dyDescent="0.25">
      <c r="A152" s="3" t="s">
        <v>318</v>
      </c>
      <c r="B152" s="3" t="s">
        <v>317</v>
      </c>
      <c r="C152" s="3" t="s">
        <v>165</v>
      </c>
      <c r="D152" s="3" t="s">
        <v>182</v>
      </c>
      <c r="E152" s="3" t="s">
        <v>182</v>
      </c>
    </row>
    <row r="153" spans="1:5" ht="12.75" customHeight="1" x14ac:dyDescent="0.25">
      <c r="A153" s="3" t="s">
        <v>143</v>
      </c>
      <c r="B153" s="3" t="s">
        <v>142</v>
      </c>
      <c r="C153" s="3" t="s">
        <v>84</v>
      </c>
      <c r="D153" s="3" t="s">
        <v>140</v>
      </c>
      <c r="E153" s="3" t="s">
        <v>141</v>
      </c>
    </row>
    <row r="154" spans="1:5" ht="12.75" customHeight="1" x14ac:dyDescent="0.25">
      <c r="A154" s="3" t="s">
        <v>213</v>
      </c>
      <c r="B154" s="3" t="s">
        <v>212</v>
      </c>
      <c r="C154" s="3" t="s">
        <v>165</v>
      </c>
      <c r="D154" s="3" t="s">
        <v>205</v>
      </c>
      <c r="E154" s="3" t="s">
        <v>211</v>
      </c>
    </row>
    <row r="155" spans="1:5" ht="12.75" customHeight="1" x14ac:dyDescent="0.25">
      <c r="A155" s="3" t="s">
        <v>708</v>
      </c>
      <c r="B155" s="3" t="s">
        <v>707</v>
      </c>
      <c r="C155" s="3" t="s">
        <v>657</v>
      </c>
      <c r="D155" s="3" t="s">
        <v>658</v>
      </c>
      <c r="E155" s="3" t="s">
        <v>658</v>
      </c>
    </row>
    <row r="156" spans="1:5" ht="12.75" customHeight="1" x14ac:dyDescent="0.25">
      <c r="A156" s="3" t="s">
        <v>278</v>
      </c>
      <c r="B156" s="3" t="s">
        <v>277</v>
      </c>
      <c r="C156" s="3" t="s">
        <v>165</v>
      </c>
      <c r="D156" s="3" t="s">
        <v>238</v>
      </c>
      <c r="E156" s="3" t="s">
        <v>266</v>
      </c>
    </row>
    <row r="157" spans="1:5" ht="12.75" customHeight="1" x14ac:dyDescent="0.25">
      <c r="A157" s="3" t="s">
        <v>868</v>
      </c>
      <c r="B157" s="3" t="s">
        <v>867</v>
      </c>
      <c r="C157" s="3" t="s">
        <v>791</v>
      </c>
      <c r="D157" s="3" t="s">
        <v>856</v>
      </c>
      <c r="E157" s="3" t="s">
        <v>856</v>
      </c>
    </row>
    <row r="158" spans="1:5" ht="12.75" customHeight="1" x14ac:dyDescent="0.25">
      <c r="A158" s="3" t="s">
        <v>282</v>
      </c>
      <c r="B158" s="3" t="s">
        <v>281</v>
      </c>
      <c r="C158" s="3" t="s">
        <v>165</v>
      </c>
      <c r="D158" s="3" t="s">
        <v>238</v>
      </c>
      <c r="E158" s="3" t="s">
        <v>266</v>
      </c>
    </row>
    <row r="159" spans="1:5" ht="12.75" customHeight="1" x14ac:dyDescent="0.25">
      <c r="A159" s="3" t="s">
        <v>284</v>
      </c>
      <c r="B159" s="3" t="s">
        <v>283</v>
      </c>
      <c r="C159" s="3" t="s">
        <v>165</v>
      </c>
      <c r="D159" s="3" t="s">
        <v>238</v>
      </c>
      <c r="E159" s="3" t="s">
        <v>266</v>
      </c>
    </row>
    <row r="160" spans="1:5" ht="12.75" customHeight="1" x14ac:dyDescent="0.25">
      <c r="A160" s="3" t="s">
        <v>450</v>
      </c>
      <c r="B160" s="3" t="s">
        <v>449</v>
      </c>
      <c r="C160" s="3" t="s">
        <v>396</v>
      </c>
      <c r="D160" s="3" t="s">
        <v>441</v>
      </c>
      <c r="E160" s="3" t="s">
        <v>442</v>
      </c>
    </row>
    <row r="161" spans="1:5" ht="12.75" customHeight="1" x14ac:dyDescent="0.25">
      <c r="A161" s="3" t="s">
        <v>676</v>
      </c>
      <c r="B161" s="3" t="s">
        <v>675</v>
      </c>
      <c r="C161" s="3" t="s">
        <v>657</v>
      </c>
      <c r="D161" s="3" t="s">
        <v>658</v>
      </c>
      <c r="E161" s="3" t="s">
        <v>658</v>
      </c>
    </row>
    <row r="162" spans="1:5" ht="12.75" customHeight="1" x14ac:dyDescent="0.25">
      <c r="A162" s="3" t="s">
        <v>728</v>
      </c>
      <c r="B162" s="3" t="s">
        <v>727</v>
      </c>
      <c r="C162" s="3" t="s">
        <v>657</v>
      </c>
      <c r="D162" s="3" t="s">
        <v>658</v>
      </c>
      <c r="E162" s="3" t="s">
        <v>658</v>
      </c>
    </row>
    <row r="163" spans="1:5" ht="12.75" customHeight="1" x14ac:dyDescent="0.25">
      <c r="A163" s="3" t="s">
        <v>710</v>
      </c>
      <c r="B163" s="3" t="s">
        <v>709</v>
      </c>
      <c r="C163" s="3" t="s">
        <v>657</v>
      </c>
      <c r="D163" s="3" t="s">
        <v>658</v>
      </c>
      <c r="E163" s="3" t="s">
        <v>658</v>
      </c>
    </row>
    <row r="164" spans="1:5" ht="12.75" customHeight="1" x14ac:dyDescent="0.25">
      <c r="A164" s="3" t="s">
        <v>126</v>
      </c>
      <c r="B164" s="3" t="s">
        <v>125</v>
      </c>
      <c r="C164" s="3" t="s">
        <v>84</v>
      </c>
      <c r="D164" s="3" t="s">
        <v>121</v>
      </c>
      <c r="E164" s="3" t="s">
        <v>122</v>
      </c>
    </row>
    <row r="165" spans="1:5" ht="12.75" customHeight="1" x14ac:dyDescent="0.25">
      <c r="A165" s="3" t="s">
        <v>712</v>
      </c>
      <c r="B165" s="3" t="s">
        <v>711</v>
      </c>
      <c r="C165" s="3" t="s">
        <v>657</v>
      </c>
      <c r="D165" s="3" t="s">
        <v>658</v>
      </c>
      <c r="E165" s="3" t="s">
        <v>658</v>
      </c>
    </row>
    <row r="166" spans="1:5" ht="12.75" customHeight="1" x14ac:dyDescent="0.25">
      <c r="A166" s="3" t="s">
        <v>716</v>
      </c>
      <c r="B166" s="3" t="s">
        <v>715</v>
      </c>
      <c r="C166" s="3" t="s">
        <v>657</v>
      </c>
      <c r="D166" s="3" t="s">
        <v>658</v>
      </c>
      <c r="E166" s="3" t="s">
        <v>658</v>
      </c>
    </row>
    <row r="167" spans="1:5" s="27" customFormat="1" ht="12.75" customHeight="1" x14ac:dyDescent="0.25">
      <c r="A167" s="3" t="s">
        <v>188</v>
      </c>
      <c r="B167" s="3" t="s">
        <v>187</v>
      </c>
      <c r="C167" s="3" t="s">
        <v>165</v>
      </c>
      <c r="D167" s="3" t="s">
        <v>185</v>
      </c>
      <c r="E167" s="3" t="s">
        <v>186</v>
      </c>
    </row>
    <row r="168" spans="1:5" ht="12.75" customHeight="1" x14ac:dyDescent="0.25">
      <c r="A168" s="3" t="s">
        <v>67</v>
      </c>
      <c r="B168" s="3" t="s">
        <v>66</v>
      </c>
      <c r="C168" s="3" t="s">
        <v>59</v>
      </c>
      <c r="D168" s="3" t="s">
        <v>59</v>
      </c>
      <c r="E168" s="3" t="s">
        <v>60</v>
      </c>
    </row>
    <row r="169" spans="1:5" ht="12.75" customHeight="1" x14ac:dyDescent="0.25">
      <c r="A169" s="3" t="s">
        <v>718</v>
      </c>
      <c r="B169" s="3" t="s">
        <v>717</v>
      </c>
      <c r="C169" s="3" t="s">
        <v>657</v>
      </c>
      <c r="D169" s="3" t="s">
        <v>658</v>
      </c>
      <c r="E169" s="3" t="s">
        <v>658</v>
      </c>
    </row>
    <row r="170" spans="1:5" ht="12.75" customHeight="1" x14ac:dyDescent="0.25">
      <c r="A170" s="3" t="s">
        <v>724</v>
      </c>
      <c r="B170" s="3" t="s">
        <v>723</v>
      </c>
      <c r="C170" s="3" t="s">
        <v>657</v>
      </c>
      <c r="D170" s="3" t="s">
        <v>658</v>
      </c>
      <c r="E170" s="3" t="s">
        <v>658</v>
      </c>
    </row>
    <row r="171" spans="1:5" ht="12.75" customHeight="1" x14ac:dyDescent="0.25">
      <c r="A171" s="3" t="s">
        <v>726</v>
      </c>
      <c r="B171" s="3" t="s">
        <v>725</v>
      </c>
      <c r="C171" s="3" t="s">
        <v>657</v>
      </c>
      <c r="D171" s="3" t="s">
        <v>658</v>
      </c>
      <c r="E171" s="3" t="s">
        <v>658</v>
      </c>
    </row>
    <row r="172" spans="1:5" ht="12.75" customHeight="1" x14ac:dyDescent="0.25">
      <c r="A172" s="3" t="s">
        <v>720</v>
      </c>
      <c r="B172" s="3" t="s">
        <v>719</v>
      </c>
      <c r="C172" s="3" t="s">
        <v>657</v>
      </c>
      <c r="D172" s="3" t="s">
        <v>658</v>
      </c>
      <c r="E172" s="3" t="s">
        <v>658</v>
      </c>
    </row>
    <row r="173" spans="1:5" ht="12.75" customHeight="1" x14ac:dyDescent="0.25">
      <c r="A173" s="3" t="s">
        <v>722</v>
      </c>
      <c r="B173" s="3" t="s">
        <v>721</v>
      </c>
      <c r="C173" s="3" t="s">
        <v>657</v>
      </c>
      <c r="D173" s="3" t="s">
        <v>658</v>
      </c>
      <c r="E173" s="3" t="s">
        <v>658</v>
      </c>
    </row>
    <row r="174" spans="1:5" ht="12.75" customHeight="1" x14ac:dyDescent="0.25">
      <c r="A174" s="3" t="s">
        <v>732</v>
      </c>
      <c r="B174" s="3" t="s">
        <v>731</v>
      </c>
      <c r="C174" s="3" t="s">
        <v>657</v>
      </c>
      <c r="D174" s="3" t="s">
        <v>658</v>
      </c>
      <c r="E174" s="3" t="s">
        <v>658</v>
      </c>
    </row>
    <row r="175" spans="1:5" ht="12.75" customHeight="1" x14ac:dyDescent="0.25">
      <c r="A175" s="3" t="s">
        <v>730</v>
      </c>
      <c r="B175" s="3" t="s">
        <v>729</v>
      </c>
      <c r="C175" s="3" t="s">
        <v>657</v>
      </c>
      <c r="D175" s="3" t="s">
        <v>658</v>
      </c>
      <c r="E175" s="3" t="s">
        <v>658</v>
      </c>
    </row>
    <row r="176" spans="1:5" ht="12.75" customHeight="1" x14ac:dyDescent="0.25">
      <c r="A176" s="3" t="s">
        <v>734</v>
      </c>
      <c r="B176" s="3" t="s">
        <v>733</v>
      </c>
      <c r="C176" s="3" t="s">
        <v>657</v>
      </c>
      <c r="D176" s="3" t="s">
        <v>658</v>
      </c>
      <c r="E176" s="3" t="s">
        <v>658</v>
      </c>
    </row>
    <row r="177" spans="1:5" ht="12.75" customHeight="1" x14ac:dyDescent="0.25">
      <c r="A177" s="3" t="s">
        <v>276</v>
      </c>
      <c r="B177" s="3" t="s">
        <v>275</v>
      </c>
      <c r="C177" s="3" t="s">
        <v>165</v>
      </c>
      <c r="D177" s="3" t="s">
        <v>238</v>
      </c>
      <c r="E177" s="3" t="s">
        <v>266</v>
      </c>
    </row>
    <row r="178" spans="1:5" ht="12.75" customHeight="1" x14ac:dyDescent="0.25">
      <c r="A178" s="3" t="s">
        <v>736</v>
      </c>
      <c r="B178" s="3" t="s">
        <v>735</v>
      </c>
      <c r="C178" s="3" t="s">
        <v>657</v>
      </c>
      <c r="D178" s="3" t="s">
        <v>658</v>
      </c>
      <c r="E178" s="3" t="s">
        <v>658</v>
      </c>
    </row>
    <row r="179" spans="1:5" ht="12.75" customHeight="1" x14ac:dyDescent="0.25">
      <c r="A179" s="3" t="s">
        <v>516</v>
      </c>
      <c r="B179" s="3" t="s">
        <v>515</v>
      </c>
      <c r="C179" s="3" t="s">
        <v>396</v>
      </c>
      <c r="D179" s="3" t="s">
        <v>510</v>
      </c>
      <c r="E179" s="3" t="s">
        <v>514</v>
      </c>
    </row>
    <row r="180" spans="1:5" ht="12.75" customHeight="1" x14ac:dyDescent="0.25">
      <c r="A180" s="3" t="s">
        <v>169</v>
      </c>
      <c r="B180" s="3" t="s">
        <v>168</v>
      </c>
      <c r="C180" s="3" t="s">
        <v>165</v>
      </c>
      <c r="D180" s="3" t="s">
        <v>166</v>
      </c>
      <c r="E180" s="3" t="s">
        <v>167</v>
      </c>
    </row>
    <row r="181" spans="1:5" ht="12.75" customHeight="1" x14ac:dyDescent="0.25">
      <c r="A181" s="3" t="s">
        <v>145</v>
      </c>
      <c r="B181" s="3" t="s">
        <v>144</v>
      </c>
      <c r="C181" s="3" t="s">
        <v>84</v>
      </c>
      <c r="D181" s="3" t="s">
        <v>140</v>
      </c>
      <c r="E181" s="3" t="s">
        <v>141</v>
      </c>
    </row>
    <row r="182" spans="1:5" ht="12.75" customHeight="1" x14ac:dyDescent="0.25">
      <c r="A182" s="3" t="s">
        <v>408</v>
      </c>
      <c r="B182" s="3" t="s">
        <v>407</v>
      </c>
      <c r="C182" s="3" t="s">
        <v>396</v>
      </c>
      <c r="D182" s="3" t="s">
        <v>397</v>
      </c>
      <c r="E182" s="3" t="s">
        <v>398</v>
      </c>
    </row>
    <row r="183" spans="1:5" ht="12.75" customHeight="1" x14ac:dyDescent="0.25">
      <c r="A183" s="3" t="s">
        <v>410</v>
      </c>
      <c r="B183" s="3" t="s">
        <v>409</v>
      </c>
      <c r="C183" s="3" t="s">
        <v>396</v>
      </c>
      <c r="D183" s="3" t="s">
        <v>397</v>
      </c>
      <c r="E183" s="3" t="s">
        <v>398</v>
      </c>
    </row>
    <row r="184" spans="1:5" ht="12.75" customHeight="1" x14ac:dyDescent="0.25">
      <c r="A184" s="3" t="s">
        <v>102</v>
      </c>
      <c r="B184" s="3" t="s">
        <v>101</v>
      </c>
      <c r="C184" s="3" t="s">
        <v>84</v>
      </c>
      <c r="D184" s="3" t="s">
        <v>99</v>
      </c>
      <c r="E184" s="3" t="s">
        <v>100</v>
      </c>
    </row>
    <row r="185" spans="1:5" ht="12.75" customHeight="1" x14ac:dyDescent="0.25">
      <c r="A185" s="3" t="s">
        <v>738</v>
      </c>
      <c r="B185" s="3" t="s">
        <v>737</v>
      </c>
      <c r="C185" s="3" t="s">
        <v>657</v>
      </c>
      <c r="D185" s="3" t="s">
        <v>658</v>
      </c>
      <c r="E185" s="3" t="s">
        <v>658</v>
      </c>
    </row>
    <row r="186" spans="1:5" ht="12.75" customHeight="1" x14ac:dyDescent="0.25">
      <c r="A186" s="3" t="s">
        <v>131</v>
      </c>
      <c r="B186" s="3" t="s">
        <v>130</v>
      </c>
      <c r="C186" s="3" t="s">
        <v>84</v>
      </c>
      <c r="D186" s="3" t="s">
        <v>121</v>
      </c>
      <c r="E186" s="3" t="s">
        <v>129</v>
      </c>
    </row>
    <row r="187" spans="1:5" ht="12.75" customHeight="1" x14ac:dyDescent="0.25">
      <c r="A187" s="3" t="s">
        <v>991</v>
      </c>
      <c r="B187" s="3" t="s">
        <v>990</v>
      </c>
      <c r="C187" s="3" t="s">
        <v>969</v>
      </c>
      <c r="D187" s="3" t="s">
        <v>969</v>
      </c>
      <c r="E187" s="3" t="s">
        <v>969</v>
      </c>
    </row>
    <row r="188" spans="1:5" ht="12.75" customHeight="1" x14ac:dyDescent="0.25">
      <c r="A188" s="3" t="s">
        <v>322</v>
      </c>
      <c r="B188" s="3" t="s">
        <v>321</v>
      </c>
      <c r="C188" s="3" t="s">
        <v>165</v>
      </c>
      <c r="D188" s="3" t="s">
        <v>182</v>
      </c>
      <c r="E188" s="3" t="s">
        <v>182</v>
      </c>
    </row>
    <row r="189" spans="1:5" ht="12.75" customHeight="1" x14ac:dyDescent="0.25">
      <c r="A189" s="3" t="s">
        <v>600</v>
      </c>
      <c r="B189" s="3" t="s">
        <v>599</v>
      </c>
      <c r="C189" s="3" t="s">
        <v>581</v>
      </c>
      <c r="D189" s="3" t="s">
        <v>592</v>
      </c>
      <c r="E189" s="3" t="s">
        <v>592</v>
      </c>
    </row>
    <row r="190" spans="1:5" ht="12.75" customHeight="1" x14ac:dyDescent="0.25">
      <c r="A190" s="3" t="s">
        <v>846</v>
      </c>
      <c r="B190" s="3" t="s">
        <v>845</v>
      </c>
      <c r="C190" s="3" t="s">
        <v>791</v>
      </c>
      <c r="D190" s="3" t="s">
        <v>792</v>
      </c>
      <c r="E190" s="3" t="s">
        <v>842</v>
      </c>
    </row>
    <row r="191" spans="1:5" ht="12.75" customHeight="1" x14ac:dyDescent="0.25">
      <c r="A191" s="3" t="s">
        <v>191</v>
      </c>
      <c r="B191" s="3" t="s">
        <v>190</v>
      </c>
      <c r="C191" s="3" t="s">
        <v>165</v>
      </c>
      <c r="D191" s="3" t="s">
        <v>185</v>
      </c>
      <c r="E191" s="3" t="s">
        <v>189</v>
      </c>
    </row>
    <row r="192" spans="1:5" ht="12.75" customHeight="1" x14ac:dyDescent="0.25">
      <c r="A192" s="3" t="s">
        <v>223</v>
      </c>
      <c r="B192" s="3" t="s">
        <v>222</v>
      </c>
      <c r="C192" s="3" t="s">
        <v>165</v>
      </c>
      <c r="D192" s="3" t="s">
        <v>205</v>
      </c>
      <c r="E192" s="3" t="s">
        <v>211</v>
      </c>
    </row>
    <row r="193" spans="1:5" s="27" customFormat="1" x14ac:dyDescent="0.25">
      <c r="A193" s="3" t="s">
        <v>245</v>
      </c>
      <c r="B193" s="3" t="s">
        <v>244</v>
      </c>
      <c r="C193" s="3" t="s">
        <v>165</v>
      </c>
      <c r="D193" s="3" t="s">
        <v>238</v>
      </c>
      <c r="E193" s="3" t="s">
        <v>243</v>
      </c>
    </row>
    <row r="194" spans="1:5" s="4" customFormat="1" ht="12.75" customHeight="1" x14ac:dyDescent="0.25">
      <c r="A194" s="3" t="s">
        <v>342</v>
      </c>
      <c r="B194" s="3" t="s">
        <v>341</v>
      </c>
      <c r="C194" s="3" t="s">
        <v>334</v>
      </c>
      <c r="D194" s="3" t="s">
        <v>335</v>
      </c>
      <c r="E194" s="3" t="s">
        <v>336</v>
      </c>
    </row>
    <row r="195" spans="1:5" ht="12.75" customHeight="1" x14ac:dyDescent="0.25">
      <c r="A195" s="3" t="s">
        <v>870</v>
      </c>
      <c r="B195" s="3" t="s">
        <v>869</v>
      </c>
      <c r="C195" s="3" t="s">
        <v>791</v>
      </c>
      <c r="D195" s="3" t="s">
        <v>856</v>
      </c>
      <c r="E195" s="3" t="s">
        <v>856</v>
      </c>
    </row>
    <row r="196" spans="1:5" ht="12.75" customHeight="1" x14ac:dyDescent="0.25">
      <c r="A196" s="3" t="s">
        <v>872</v>
      </c>
      <c r="B196" s="3" t="s">
        <v>871</v>
      </c>
      <c r="C196" s="3" t="s">
        <v>791</v>
      </c>
      <c r="D196" s="3" t="s">
        <v>856</v>
      </c>
      <c r="E196" s="3" t="s">
        <v>856</v>
      </c>
    </row>
    <row r="197" spans="1:5" ht="12.75" customHeight="1" x14ac:dyDescent="0.25">
      <c r="A197" s="3" t="s">
        <v>247</v>
      </c>
      <c r="B197" s="3" t="s">
        <v>246</v>
      </c>
      <c r="C197" s="3" t="s">
        <v>165</v>
      </c>
      <c r="D197" s="3" t="s">
        <v>238</v>
      </c>
      <c r="E197" s="3" t="s">
        <v>243</v>
      </c>
    </row>
    <row r="198" spans="1:5" ht="12.75" customHeight="1" x14ac:dyDescent="0.25">
      <c r="A198" s="3" t="s">
        <v>586</v>
      </c>
      <c r="B198" s="3" t="s">
        <v>585</v>
      </c>
      <c r="C198" s="3" t="s">
        <v>581</v>
      </c>
      <c r="D198" s="3" t="s">
        <v>582</v>
      </c>
      <c r="E198" s="3" t="s">
        <v>582</v>
      </c>
    </row>
    <row r="199" spans="1:5" ht="12.75" customHeight="1" x14ac:dyDescent="0.25">
      <c r="A199" s="3" t="s">
        <v>740</v>
      </c>
      <c r="B199" s="3" t="s">
        <v>739</v>
      </c>
      <c r="C199" s="3" t="s">
        <v>657</v>
      </c>
      <c r="D199" s="3" t="s">
        <v>658</v>
      </c>
      <c r="E199" s="3" t="s">
        <v>658</v>
      </c>
    </row>
    <row r="200" spans="1:5" ht="12.75" customHeight="1" x14ac:dyDescent="0.25">
      <c r="A200" s="3" t="s">
        <v>412</v>
      </c>
      <c r="B200" s="3" t="s">
        <v>411</v>
      </c>
      <c r="C200" s="3" t="s">
        <v>396</v>
      </c>
      <c r="D200" s="3" t="s">
        <v>397</v>
      </c>
      <c r="E200" s="3" t="s">
        <v>398</v>
      </c>
    </row>
    <row r="201" spans="1:5" ht="12.75" customHeight="1" x14ac:dyDescent="0.25">
      <c r="A201" s="3" t="s">
        <v>104</v>
      </c>
      <c r="B201" s="3" t="s">
        <v>103</v>
      </c>
      <c r="C201" s="3" t="s">
        <v>84</v>
      </c>
      <c r="D201" s="3" t="s">
        <v>99</v>
      </c>
      <c r="E201" s="3" t="s">
        <v>100</v>
      </c>
    </row>
    <row r="202" spans="1:5" ht="12.75" customHeight="1" x14ac:dyDescent="0.25">
      <c r="A202" s="3" t="s">
        <v>606</v>
      </c>
      <c r="B202" s="3" t="s">
        <v>605</v>
      </c>
      <c r="C202" s="3" t="s">
        <v>581</v>
      </c>
      <c r="D202" s="3" t="s">
        <v>592</v>
      </c>
      <c r="E202" s="3" t="s">
        <v>592</v>
      </c>
    </row>
    <row r="203" spans="1:5" ht="12.75" customHeight="1" x14ac:dyDescent="0.25">
      <c r="A203" s="3" t="s">
        <v>106</v>
      </c>
      <c r="B203" s="3" t="s">
        <v>105</v>
      </c>
      <c r="C203" s="3" t="s">
        <v>84</v>
      </c>
      <c r="D203" s="3" t="s">
        <v>99</v>
      </c>
      <c r="E203" s="3" t="s">
        <v>100</v>
      </c>
    </row>
    <row r="204" spans="1:5" ht="12.75" customHeight="1" x14ac:dyDescent="0.25">
      <c r="A204" s="3" t="s">
        <v>242</v>
      </c>
      <c r="B204" s="3" t="s">
        <v>241</v>
      </c>
      <c r="C204" s="3" t="s">
        <v>165</v>
      </c>
      <c r="D204" s="3" t="s">
        <v>238</v>
      </c>
      <c r="E204" s="3" t="s">
        <v>239</v>
      </c>
    </row>
    <row r="205" spans="1:5" ht="12.75" customHeight="1" x14ac:dyDescent="0.25">
      <c r="A205" s="3" t="s">
        <v>680</v>
      </c>
      <c r="B205" s="3" t="s">
        <v>679</v>
      </c>
      <c r="C205" s="3" t="s">
        <v>657</v>
      </c>
      <c r="D205" s="3" t="s">
        <v>658</v>
      </c>
      <c r="E205" s="3" t="s">
        <v>658</v>
      </c>
    </row>
    <row r="206" spans="1:5" x14ac:dyDescent="0.25">
      <c r="A206" s="3" t="s">
        <v>128</v>
      </c>
      <c r="B206" s="3" t="s">
        <v>127</v>
      </c>
      <c r="C206" s="3" t="s">
        <v>84</v>
      </c>
      <c r="D206" s="3" t="s">
        <v>121</v>
      </c>
      <c r="E206" s="3" t="s">
        <v>122</v>
      </c>
    </row>
    <row r="207" spans="1:5" ht="12.75" customHeight="1" x14ac:dyDescent="0.25">
      <c r="A207" s="3" t="s">
        <v>894</v>
      </c>
      <c r="B207" s="3" t="s">
        <v>893</v>
      </c>
      <c r="C207" s="3" t="s">
        <v>791</v>
      </c>
      <c r="D207" s="3" t="s">
        <v>887</v>
      </c>
      <c r="E207" s="3" t="s">
        <v>888</v>
      </c>
    </row>
    <row r="208" spans="1:5" ht="12.75" customHeight="1" x14ac:dyDescent="0.25">
      <c r="A208" s="3" t="s">
        <v>474</v>
      </c>
      <c r="B208" s="3" t="s">
        <v>473</v>
      </c>
      <c r="C208" s="3" t="s">
        <v>396</v>
      </c>
      <c r="D208" s="3" t="s">
        <v>441</v>
      </c>
      <c r="E208" s="3" t="s">
        <v>468</v>
      </c>
    </row>
    <row r="209" spans="1:5" ht="12.75" customHeight="1" x14ac:dyDescent="0.25">
      <c r="A209" s="3" t="s">
        <v>933</v>
      </c>
      <c r="B209" s="3" t="s">
        <v>932</v>
      </c>
      <c r="C209" s="3" t="s">
        <v>791</v>
      </c>
      <c r="D209" s="3" t="s">
        <v>921</v>
      </c>
      <c r="E209" s="3" t="s">
        <v>921</v>
      </c>
    </row>
    <row r="210" spans="1:5" ht="12.75" customHeight="1" x14ac:dyDescent="0.25">
      <c r="A210" s="3" t="s">
        <v>561</v>
      </c>
      <c r="B210" s="3" t="s">
        <v>560</v>
      </c>
      <c r="C210" s="3" t="s">
        <v>396</v>
      </c>
      <c r="D210" s="3" t="s">
        <v>327</v>
      </c>
      <c r="E210" s="3" t="s">
        <v>441</v>
      </c>
    </row>
    <row r="211" spans="1:5" ht="12.75" customHeight="1" x14ac:dyDescent="0.25">
      <c r="A211" s="3" t="s">
        <v>171</v>
      </c>
      <c r="B211" s="3" t="s">
        <v>170</v>
      </c>
      <c r="C211" s="3" t="s">
        <v>165</v>
      </c>
      <c r="D211" s="3" t="s">
        <v>166</v>
      </c>
      <c r="E211" s="3" t="s">
        <v>167</v>
      </c>
    </row>
    <row r="212" spans="1:5" ht="12.75" customHeight="1" x14ac:dyDescent="0.25">
      <c r="A212" s="3" t="s">
        <v>602</v>
      </c>
      <c r="B212" s="3" t="s">
        <v>601</v>
      </c>
      <c r="C212" s="3" t="s">
        <v>581</v>
      </c>
      <c r="D212" s="3" t="s">
        <v>592</v>
      </c>
      <c r="E212" s="3" t="s">
        <v>592</v>
      </c>
    </row>
    <row r="213" spans="1:5" ht="12.75" customHeight="1" x14ac:dyDescent="0.25">
      <c r="A213" s="3" t="s">
        <v>414</v>
      </c>
      <c r="B213" s="3" t="s">
        <v>413</v>
      </c>
      <c r="C213" s="3" t="s">
        <v>396</v>
      </c>
      <c r="D213" s="3" t="s">
        <v>397</v>
      </c>
      <c r="E213" s="3" t="s">
        <v>398</v>
      </c>
    </row>
    <row r="214" spans="1:5" ht="12.75" customHeight="1" x14ac:dyDescent="0.25">
      <c r="A214" s="3" t="s">
        <v>935</v>
      </c>
      <c r="B214" s="3" t="s">
        <v>934</v>
      </c>
      <c r="C214" s="3" t="s">
        <v>791</v>
      </c>
      <c r="D214" s="3" t="s">
        <v>921</v>
      </c>
      <c r="E214" s="3" t="s">
        <v>921</v>
      </c>
    </row>
    <row r="215" spans="1:5" ht="12.75" customHeight="1" x14ac:dyDescent="0.25">
      <c r="A215" s="3" t="s">
        <v>493</v>
      </c>
      <c r="B215" s="3" t="s">
        <v>492</v>
      </c>
      <c r="C215" s="3" t="s">
        <v>396</v>
      </c>
      <c r="D215" s="3" t="s">
        <v>484</v>
      </c>
      <c r="E215" s="3" t="s">
        <v>491</v>
      </c>
    </row>
    <row r="216" spans="1:5" ht="12.75" customHeight="1" x14ac:dyDescent="0.25">
      <c r="A216" s="3" t="s">
        <v>467</v>
      </c>
      <c r="B216" s="3" t="s">
        <v>466</v>
      </c>
      <c r="C216" s="3" t="s">
        <v>396</v>
      </c>
      <c r="D216" s="3" t="s">
        <v>441</v>
      </c>
      <c r="E216" s="3" t="s">
        <v>465</v>
      </c>
    </row>
    <row r="217" spans="1:5" ht="12.75" customHeight="1" x14ac:dyDescent="0.25">
      <c r="A217" s="3" t="s">
        <v>504</v>
      </c>
      <c r="B217" s="3" t="s">
        <v>503</v>
      </c>
      <c r="C217" s="3" t="s">
        <v>396</v>
      </c>
      <c r="D217" s="3" t="s">
        <v>501</v>
      </c>
      <c r="E217" s="3" t="s">
        <v>502</v>
      </c>
    </row>
    <row r="218" spans="1:5" ht="12.75" customHeight="1" x14ac:dyDescent="0.25">
      <c r="A218" s="3" t="s">
        <v>619</v>
      </c>
      <c r="B218" s="3" t="s">
        <v>618</v>
      </c>
      <c r="C218" s="3" t="s">
        <v>581</v>
      </c>
      <c r="D218" s="3" t="s">
        <v>390</v>
      </c>
      <c r="E218" s="3" t="s">
        <v>582</v>
      </c>
    </row>
    <row r="219" spans="1:5" ht="12.75" customHeight="1" x14ac:dyDescent="0.25">
      <c r="A219" s="3" t="s">
        <v>896</v>
      </c>
      <c r="B219" s="3" t="s">
        <v>895</v>
      </c>
      <c r="C219" s="3" t="s">
        <v>791</v>
      </c>
      <c r="D219" s="3" t="s">
        <v>887</v>
      </c>
      <c r="E219" s="3" t="s">
        <v>888</v>
      </c>
    </row>
    <row r="220" spans="1:5" ht="12.75" customHeight="1" x14ac:dyDescent="0.25">
      <c r="A220" s="3" t="s">
        <v>825</v>
      </c>
      <c r="B220" s="3" t="s">
        <v>824</v>
      </c>
      <c r="C220" s="3" t="s">
        <v>791</v>
      </c>
      <c r="D220" s="3" t="s">
        <v>792</v>
      </c>
      <c r="E220" s="3" t="s">
        <v>793</v>
      </c>
    </row>
    <row r="221" spans="1:5" s="4" customFormat="1" ht="12.75" customHeight="1" x14ac:dyDescent="0.25">
      <c r="A221" s="3" t="s">
        <v>937</v>
      </c>
      <c r="B221" s="3" t="s">
        <v>936</v>
      </c>
      <c r="C221" s="3" t="s">
        <v>791</v>
      </c>
      <c r="D221" s="3" t="s">
        <v>921</v>
      </c>
      <c r="E221" s="3" t="s">
        <v>921</v>
      </c>
    </row>
    <row r="222" spans="1:5" s="4" customFormat="1" ht="12.75" customHeight="1" x14ac:dyDescent="0.25">
      <c r="A222" s="3" t="s">
        <v>779</v>
      </c>
      <c r="B222" s="3" t="s">
        <v>778</v>
      </c>
      <c r="C222" s="3" t="s">
        <v>657</v>
      </c>
      <c r="D222" s="3" t="s">
        <v>773</v>
      </c>
      <c r="E222" s="3" t="s">
        <v>773</v>
      </c>
    </row>
    <row r="223" spans="1:5" ht="12.75" customHeight="1" x14ac:dyDescent="0.25">
      <c r="A223" s="3" t="s">
        <v>939</v>
      </c>
      <c r="B223" s="3" t="s">
        <v>938</v>
      </c>
      <c r="C223" s="3" t="s">
        <v>791</v>
      </c>
      <c r="D223" s="3" t="s">
        <v>921</v>
      </c>
      <c r="E223" s="3" t="s">
        <v>921</v>
      </c>
    </row>
    <row r="224" spans="1:5" ht="12.75" customHeight="1" x14ac:dyDescent="0.25">
      <c r="A224" s="3" t="s">
        <v>219</v>
      </c>
      <c r="B224" s="3" t="s">
        <v>218</v>
      </c>
      <c r="C224" s="3" t="s">
        <v>165</v>
      </c>
      <c r="D224" s="3" t="s">
        <v>205</v>
      </c>
      <c r="E224" s="3" t="s">
        <v>211</v>
      </c>
    </row>
    <row r="225" spans="1:5" ht="12.75" customHeight="1" x14ac:dyDescent="0.25">
      <c r="A225" s="3" t="s">
        <v>416</v>
      </c>
      <c r="B225" s="3" t="s">
        <v>415</v>
      </c>
      <c r="C225" s="3" t="s">
        <v>396</v>
      </c>
      <c r="D225" s="3" t="s">
        <v>397</v>
      </c>
      <c r="E225" s="3" t="s">
        <v>398</v>
      </c>
    </row>
    <row r="226" spans="1:5" ht="12.75" customHeight="1" x14ac:dyDescent="0.25">
      <c r="A226" s="3" t="s">
        <v>909</v>
      </c>
      <c r="B226" s="3" t="s">
        <v>908</v>
      </c>
      <c r="C226" s="3" t="s">
        <v>791</v>
      </c>
      <c r="D226" s="3" t="s">
        <v>902</v>
      </c>
      <c r="E226" s="3" t="s">
        <v>903</v>
      </c>
    </row>
    <row r="227" spans="1:5" ht="12.75" customHeight="1" x14ac:dyDescent="0.25">
      <c r="A227" s="3" t="s">
        <v>742</v>
      </c>
      <c r="B227" s="3" t="s">
        <v>741</v>
      </c>
      <c r="C227" s="3" t="s">
        <v>657</v>
      </c>
      <c r="D227" s="3" t="s">
        <v>658</v>
      </c>
      <c r="E227" s="3" t="s">
        <v>658</v>
      </c>
    </row>
    <row r="228" spans="1:5" ht="12.75" customHeight="1" x14ac:dyDescent="0.25">
      <c r="A228" s="3" t="s">
        <v>827</v>
      </c>
      <c r="B228" s="3" t="s">
        <v>826</v>
      </c>
      <c r="C228" s="3" t="s">
        <v>791</v>
      </c>
      <c r="D228" s="3" t="s">
        <v>792</v>
      </c>
      <c r="E228" s="3" t="s">
        <v>793</v>
      </c>
    </row>
    <row r="229" spans="1:5" s="27" customFormat="1" ht="12.75" customHeight="1" x14ac:dyDescent="0.25">
      <c r="A229" s="3" t="s">
        <v>829</v>
      </c>
      <c r="B229" s="3" t="s">
        <v>828</v>
      </c>
      <c r="C229" s="3" t="s">
        <v>791</v>
      </c>
      <c r="D229" s="3" t="s">
        <v>792</v>
      </c>
      <c r="E229" s="3" t="s">
        <v>793</v>
      </c>
    </row>
    <row r="230" spans="1:5" ht="12.75" customHeight="1" x14ac:dyDescent="0.25">
      <c r="A230" s="3" t="s">
        <v>303</v>
      </c>
      <c r="B230" s="3" t="s">
        <v>302</v>
      </c>
      <c r="C230" s="3" t="s">
        <v>165</v>
      </c>
      <c r="D230" s="3" t="s">
        <v>238</v>
      </c>
      <c r="E230" s="3" t="s">
        <v>297</v>
      </c>
    </row>
    <row r="231" spans="1:5" ht="12.75" customHeight="1" x14ac:dyDescent="0.25">
      <c r="A231" s="3" t="s">
        <v>993</v>
      </c>
      <c r="B231" s="3" t="s">
        <v>992</v>
      </c>
      <c r="C231" s="3" t="s">
        <v>969</v>
      </c>
      <c r="D231" s="3" t="s">
        <v>969</v>
      </c>
      <c r="E231" s="3" t="s">
        <v>969</v>
      </c>
    </row>
    <row r="232" spans="1:5" ht="12.75" customHeight="1" x14ac:dyDescent="0.25">
      <c r="A232" s="3" t="s">
        <v>361</v>
      </c>
      <c r="B232" s="3" t="s">
        <v>360</v>
      </c>
      <c r="C232" s="3" t="s">
        <v>334</v>
      </c>
      <c r="D232" s="3" t="s">
        <v>347</v>
      </c>
      <c r="E232" s="3" t="s">
        <v>355</v>
      </c>
    </row>
    <row r="233" spans="1:5" ht="12.75" customHeight="1" x14ac:dyDescent="0.25">
      <c r="A233" s="3" t="s">
        <v>420</v>
      </c>
      <c r="B233" s="3" t="s">
        <v>419</v>
      </c>
      <c r="C233" s="3" t="s">
        <v>396</v>
      </c>
      <c r="D233" s="3" t="s">
        <v>397</v>
      </c>
      <c r="E233" s="3" t="s">
        <v>398</v>
      </c>
    </row>
    <row r="234" spans="1:5" s="4" customFormat="1" ht="12.75" customHeight="1" x14ac:dyDescent="0.25">
      <c r="A234" s="3" t="s">
        <v>418</v>
      </c>
      <c r="B234" s="3" t="s">
        <v>417</v>
      </c>
      <c r="C234" s="3" t="s">
        <v>396</v>
      </c>
      <c r="D234" s="3" t="s">
        <v>397</v>
      </c>
      <c r="E234" s="3" t="s">
        <v>398</v>
      </c>
    </row>
    <row r="235" spans="1:5" ht="12.75" customHeight="1" x14ac:dyDescent="0.25">
      <c r="A235" s="3" t="s">
        <v>372</v>
      </c>
      <c r="B235" s="3" t="s">
        <v>371</v>
      </c>
      <c r="C235" s="3" t="s">
        <v>334</v>
      </c>
      <c r="D235" s="3" t="s">
        <v>347</v>
      </c>
      <c r="E235" s="3" t="s">
        <v>368</v>
      </c>
    </row>
    <row r="236" spans="1:5" ht="12.75" customHeight="1" x14ac:dyDescent="0.25">
      <c r="A236" s="3" t="s">
        <v>374</v>
      </c>
      <c r="B236" s="3" t="s">
        <v>373</v>
      </c>
      <c r="C236" s="3" t="s">
        <v>334</v>
      </c>
      <c r="D236" s="3" t="s">
        <v>347</v>
      </c>
      <c r="E236" s="3" t="s">
        <v>368</v>
      </c>
    </row>
    <row r="237" spans="1:5" ht="12.75" customHeight="1" x14ac:dyDescent="0.25">
      <c r="A237" s="3" t="s">
        <v>941</v>
      </c>
      <c r="B237" s="3" t="s">
        <v>940</v>
      </c>
      <c r="C237" s="3" t="s">
        <v>791</v>
      </c>
      <c r="D237" s="3" t="s">
        <v>921</v>
      </c>
      <c r="E237" s="3" t="s">
        <v>921</v>
      </c>
    </row>
    <row r="238" spans="1:5" ht="12.75" customHeight="1" x14ac:dyDescent="0.25">
      <c r="A238" s="3" t="s">
        <v>263</v>
      </c>
      <c r="B238" s="3" t="s">
        <v>262</v>
      </c>
      <c r="C238" s="3" t="s">
        <v>165</v>
      </c>
      <c r="D238" s="3" t="s">
        <v>238</v>
      </c>
      <c r="E238" s="3" t="s">
        <v>261</v>
      </c>
    </row>
    <row r="239" spans="1:5" ht="12.75" customHeight="1" x14ac:dyDescent="0.25">
      <c r="A239" s="3" t="s">
        <v>221</v>
      </c>
      <c r="B239" s="3" t="s">
        <v>220</v>
      </c>
      <c r="C239" s="3" t="s">
        <v>165</v>
      </c>
      <c r="D239" s="3" t="s">
        <v>205</v>
      </c>
      <c r="E239" s="3" t="s">
        <v>211</v>
      </c>
    </row>
    <row r="240" spans="1:5" s="4" customFormat="1" ht="12.75" customHeight="1" x14ac:dyDescent="0.25">
      <c r="A240" s="3" t="s">
        <v>150</v>
      </c>
      <c r="B240" s="3" t="s">
        <v>149</v>
      </c>
      <c r="C240" s="3" t="s">
        <v>84</v>
      </c>
      <c r="D240" s="3" t="s">
        <v>140</v>
      </c>
      <c r="E240" s="3" t="s">
        <v>146</v>
      </c>
    </row>
    <row r="241" spans="1:5" ht="12.75" customHeight="1" x14ac:dyDescent="0.25">
      <c r="A241" s="3" t="s">
        <v>578</v>
      </c>
      <c r="B241" s="3" t="s">
        <v>577</v>
      </c>
      <c r="C241" s="3" t="s">
        <v>396</v>
      </c>
      <c r="D241" s="3" t="s">
        <v>327</v>
      </c>
      <c r="E241" s="3" t="s">
        <v>572</v>
      </c>
    </row>
    <row r="242" spans="1:5" ht="12.75" customHeight="1" x14ac:dyDescent="0.25">
      <c r="A242" s="3" t="s">
        <v>544</v>
      </c>
      <c r="B242" s="3" t="s">
        <v>543</v>
      </c>
      <c r="C242" s="3" t="s">
        <v>396</v>
      </c>
      <c r="D242" s="3" t="s">
        <v>528</v>
      </c>
      <c r="E242" s="3" t="s">
        <v>540</v>
      </c>
    </row>
    <row r="243" spans="1:5" s="4" customFormat="1" ht="12.75" customHeight="1" x14ac:dyDescent="0.25">
      <c r="A243" s="3" t="s">
        <v>498</v>
      </c>
      <c r="B243" s="3" t="s">
        <v>497</v>
      </c>
      <c r="C243" s="3" t="s">
        <v>396</v>
      </c>
      <c r="D243" s="3" t="s">
        <v>494</v>
      </c>
      <c r="E243" s="3" t="s">
        <v>494</v>
      </c>
    </row>
    <row r="244" spans="1:5" x14ac:dyDescent="0.25">
      <c r="A244" s="3" t="s">
        <v>744</v>
      </c>
      <c r="B244" s="3" t="s">
        <v>743</v>
      </c>
      <c r="C244" s="3" t="s">
        <v>657</v>
      </c>
      <c r="D244" s="3" t="s">
        <v>658</v>
      </c>
      <c r="E244" s="3" t="s">
        <v>658</v>
      </c>
    </row>
    <row r="245" spans="1:5" s="27" customFormat="1" x14ac:dyDescent="0.25">
      <c r="A245" s="3" t="s">
        <v>746</v>
      </c>
      <c r="B245" s="3" t="s">
        <v>745</v>
      </c>
      <c r="C245" s="3" t="s">
        <v>657</v>
      </c>
      <c r="D245" s="3" t="s">
        <v>658</v>
      </c>
      <c r="E245" s="3" t="s">
        <v>658</v>
      </c>
    </row>
    <row r="246" spans="1:5" ht="12.75" customHeight="1" x14ac:dyDescent="0.25">
      <c r="A246" s="3" t="s">
        <v>631</v>
      </c>
      <c r="B246" s="3" t="s">
        <v>631</v>
      </c>
      <c r="C246" s="3" t="s">
        <v>624</v>
      </c>
      <c r="D246" s="3" t="s">
        <v>628</v>
      </c>
      <c r="E246" s="3" t="s">
        <v>628</v>
      </c>
    </row>
    <row r="247" spans="1:5" ht="12.75" customHeight="1" x14ac:dyDescent="0.25">
      <c r="A247" s="3" t="s">
        <v>714</v>
      </c>
      <c r="B247" s="3" t="s">
        <v>713</v>
      </c>
      <c r="C247" s="3" t="s">
        <v>657</v>
      </c>
      <c r="D247" s="3" t="s">
        <v>658</v>
      </c>
      <c r="E247" s="3" t="s">
        <v>658</v>
      </c>
    </row>
    <row r="248" spans="1:5" ht="12.75" customHeight="1" x14ac:dyDescent="0.25">
      <c r="A248" s="3" t="s">
        <v>57</v>
      </c>
      <c r="B248" s="3">
        <v>0</v>
      </c>
      <c r="C248" s="3" t="s">
        <v>59</v>
      </c>
      <c r="D248" s="3" t="s">
        <v>59</v>
      </c>
      <c r="E248" s="3" t="s">
        <v>79</v>
      </c>
    </row>
    <row r="249" spans="1:5" ht="12.75" customHeight="1" x14ac:dyDescent="0.25">
      <c r="A249" s="3" t="s">
        <v>57</v>
      </c>
      <c r="B249" s="3">
        <v>0</v>
      </c>
      <c r="C249" s="3" t="s">
        <v>84</v>
      </c>
      <c r="D249" s="3" t="s">
        <v>162</v>
      </c>
      <c r="E249" s="3" t="s">
        <v>162</v>
      </c>
    </row>
    <row r="250" spans="1:5" ht="12.75" customHeight="1" x14ac:dyDescent="0.25">
      <c r="A250" s="3" t="s">
        <v>57</v>
      </c>
      <c r="B250" s="3">
        <v>0</v>
      </c>
      <c r="C250" s="3" t="s">
        <v>165</v>
      </c>
      <c r="D250" s="3" t="s">
        <v>327</v>
      </c>
      <c r="E250" s="3" t="s">
        <v>185</v>
      </c>
    </row>
    <row r="251" spans="1:5" ht="12.75" customHeight="1" x14ac:dyDescent="0.25">
      <c r="A251" s="3" t="s">
        <v>57</v>
      </c>
      <c r="B251" s="3">
        <v>0</v>
      </c>
      <c r="C251" s="3" t="s">
        <v>334</v>
      </c>
      <c r="D251" s="3" t="s">
        <v>390</v>
      </c>
      <c r="E251" s="3" t="s">
        <v>391</v>
      </c>
    </row>
    <row r="252" spans="1:5" ht="12.75" customHeight="1" x14ac:dyDescent="0.25">
      <c r="A252" s="3" t="s">
        <v>57</v>
      </c>
      <c r="B252" s="3">
        <v>0</v>
      </c>
      <c r="C252" s="3" t="s">
        <v>396</v>
      </c>
      <c r="D252" s="3" t="s">
        <v>441</v>
      </c>
      <c r="E252" s="3" t="s">
        <v>477</v>
      </c>
    </row>
    <row r="253" spans="1:5" ht="12.75" customHeight="1" x14ac:dyDescent="0.25">
      <c r="A253" s="3" t="s">
        <v>57</v>
      </c>
      <c r="B253" s="3">
        <v>0</v>
      </c>
      <c r="C253" s="3" t="s">
        <v>396</v>
      </c>
      <c r="D253" s="3" t="s">
        <v>327</v>
      </c>
      <c r="E253" s="3" t="s">
        <v>572</v>
      </c>
    </row>
    <row r="254" spans="1:5" ht="12.75" customHeight="1" x14ac:dyDescent="0.25">
      <c r="A254" s="3" t="s">
        <v>57</v>
      </c>
      <c r="B254" s="3">
        <v>0</v>
      </c>
      <c r="C254" s="3" t="s">
        <v>581</v>
      </c>
      <c r="D254" s="3" t="s">
        <v>390</v>
      </c>
      <c r="E254" s="3" t="s">
        <v>582</v>
      </c>
    </row>
    <row r="255" spans="1:5" ht="12.75" customHeight="1" x14ac:dyDescent="0.25">
      <c r="A255" s="3" t="s">
        <v>57</v>
      </c>
      <c r="B255" s="3">
        <v>0</v>
      </c>
      <c r="C255" s="3" t="s">
        <v>624</v>
      </c>
      <c r="D255" s="3" t="s">
        <v>628</v>
      </c>
      <c r="E255" s="3" t="s">
        <v>628</v>
      </c>
    </row>
    <row r="256" spans="1:5" ht="12.75" customHeight="1" x14ac:dyDescent="0.25">
      <c r="A256" s="3" t="s">
        <v>57</v>
      </c>
      <c r="B256" s="3">
        <v>0</v>
      </c>
      <c r="C256" s="3" t="s">
        <v>640</v>
      </c>
      <c r="D256" s="3" t="s">
        <v>653</v>
      </c>
      <c r="E256" s="3" t="s">
        <v>654</v>
      </c>
    </row>
    <row r="257" spans="1:5" ht="12.75" customHeight="1" x14ac:dyDescent="0.25">
      <c r="A257" s="3" t="s">
        <v>57</v>
      </c>
      <c r="B257" s="3">
        <v>0</v>
      </c>
      <c r="C257" s="3" t="s">
        <v>657</v>
      </c>
      <c r="D257" s="3" t="s">
        <v>786</v>
      </c>
      <c r="E257" s="3" t="s">
        <v>786</v>
      </c>
    </row>
    <row r="258" spans="1:5" ht="12.75" customHeight="1" x14ac:dyDescent="0.25">
      <c r="A258" s="3" t="s">
        <v>57</v>
      </c>
      <c r="B258" s="3">
        <v>0</v>
      </c>
      <c r="C258" s="3" t="s">
        <v>791</v>
      </c>
      <c r="D258" s="3" t="s">
        <v>902</v>
      </c>
      <c r="E258" s="3" t="s">
        <v>916</v>
      </c>
    </row>
    <row r="259" spans="1:5" ht="12.75" customHeight="1" x14ac:dyDescent="0.25">
      <c r="A259" s="3" t="s">
        <v>57</v>
      </c>
      <c r="B259" s="3">
        <v>0</v>
      </c>
      <c r="C259" s="3" t="s">
        <v>791</v>
      </c>
      <c r="D259" s="3" t="s">
        <v>962</v>
      </c>
      <c r="E259" s="3" t="s">
        <v>962</v>
      </c>
    </row>
    <row r="260" spans="1:5" ht="12.75" customHeight="1" x14ac:dyDescent="0.25">
      <c r="A260" s="3" t="s">
        <v>563</v>
      </c>
      <c r="B260" s="3" t="s">
        <v>562</v>
      </c>
      <c r="C260" s="3" t="s">
        <v>396</v>
      </c>
      <c r="D260" s="3" t="s">
        <v>327</v>
      </c>
      <c r="E260" s="3" t="s">
        <v>441</v>
      </c>
    </row>
    <row r="261" spans="1:5" ht="12.75" customHeight="1" x14ac:dyDescent="0.25">
      <c r="A261" s="3" t="s">
        <v>615</v>
      </c>
      <c r="B261" s="3" t="s">
        <v>614</v>
      </c>
      <c r="C261" s="3" t="s">
        <v>581</v>
      </c>
      <c r="D261" s="3" t="s">
        <v>611</v>
      </c>
      <c r="E261" s="3" t="s">
        <v>611</v>
      </c>
    </row>
    <row r="262" spans="1:5" ht="12.75" customHeight="1" x14ac:dyDescent="0.25">
      <c r="A262" s="3" t="s">
        <v>943</v>
      </c>
      <c r="B262" s="3" t="s">
        <v>942</v>
      </c>
      <c r="C262" s="3" t="s">
        <v>791</v>
      </c>
      <c r="D262" s="3" t="s">
        <v>921</v>
      </c>
      <c r="E262" s="3" t="s">
        <v>921</v>
      </c>
    </row>
    <row r="263" spans="1:5" ht="12.75" customHeight="1" x14ac:dyDescent="0.25">
      <c r="A263" s="3" t="s">
        <v>258</v>
      </c>
      <c r="B263" s="3" t="s">
        <v>257</v>
      </c>
      <c r="C263" s="3" t="s">
        <v>165</v>
      </c>
      <c r="D263" s="3" t="s">
        <v>238</v>
      </c>
      <c r="E263" s="3" t="s">
        <v>256</v>
      </c>
    </row>
    <row r="264" spans="1:5" ht="12.75" customHeight="1" x14ac:dyDescent="0.25">
      <c r="A264" s="3" t="s">
        <v>954</v>
      </c>
      <c r="B264" s="3" t="s">
        <v>953</v>
      </c>
      <c r="C264" s="3" t="s">
        <v>791</v>
      </c>
      <c r="D264" s="3" t="s">
        <v>921</v>
      </c>
      <c r="E264" s="3" t="s">
        <v>950</v>
      </c>
    </row>
    <row r="265" spans="1:5" ht="12.75" customHeight="1" x14ac:dyDescent="0.25">
      <c r="A265" s="3" t="s">
        <v>567</v>
      </c>
      <c r="B265" s="3" t="s">
        <v>566</v>
      </c>
      <c r="C265" s="3" t="s">
        <v>396</v>
      </c>
      <c r="D265" s="3" t="s">
        <v>327</v>
      </c>
      <c r="E265" s="3" t="s">
        <v>441</v>
      </c>
    </row>
    <row r="266" spans="1:5" ht="12.75" customHeight="1" x14ac:dyDescent="0.25">
      <c r="A266" s="3" t="s">
        <v>91</v>
      </c>
      <c r="B266" s="3" t="s">
        <v>90</v>
      </c>
      <c r="C266" s="3" t="s">
        <v>84</v>
      </c>
      <c r="D266" s="3" t="s">
        <v>85</v>
      </c>
      <c r="E266" s="3" t="s">
        <v>86</v>
      </c>
    </row>
    <row r="267" spans="1:5" ht="12.75" customHeight="1" x14ac:dyDescent="0.25">
      <c r="A267" s="3" t="s">
        <v>94</v>
      </c>
      <c r="B267" s="3" t="s">
        <v>93</v>
      </c>
      <c r="C267" s="3" t="s">
        <v>84</v>
      </c>
      <c r="D267" s="3" t="s">
        <v>85</v>
      </c>
      <c r="E267" s="3" t="s">
        <v>86</v>
      </c>
    </row>
    <row r="268" spans="1:5" ht="12.75" customHeight="1" x14ac:dyDescent="0.25">
      <c r="A268" s="3" t="s">
        <v>81</v>
      </c>
      <c r="B268" s="3" t="s">
        <v>80</v>
      </c>
      <c r="C268" s="3" t="s">
        <v>59</v>
      </c>
      <c r="D268" s="3" t="s">
        <v>59</v>
      </c>
      <c r="E268" s="3" t="s">
        <v>79</v>
      </c>
    </row>
    <row r="269" spans="1:5" ht="12.75" customHeight="1" x14ac:dyDescent="0.25">
      <c r="A269" s="3" t="s">
        <v>260</v>
      </c>
      <c r="B269" s="3" t="s">
        <v>259</v>
      </c>
      <c r="C269" s="3" t="s">
        <v>165</v>
      </c>
      <c r="D269" s="3" t="s">
        <v>238</v>
      </c>
      <c r="E269" s="3" t="s">
        <v>256</v>
      </c>
    </row>
    <row r="270" spans="1:5" ht="12.75" customHeight="1" x14ac:dyDescent="0.25">
      <c r="A270" s="3" t="s">
        <v>633</v>
      </c>
      <c r="B270" s="3" t="s">
        <v>632</v>
      </c>
      <c r="C270" s="3" t="s">
        <v>624</v>
      </c>
      <c r="D270" s="3" t="s">
        <v>628</v>
      </c>
      <c r="E270" s="3" t="s">
        <v>628</v>
      </c>
    </row>
    <row r="271" spans="1:5" ht="12.75" customHeight="1" x14ac:dyDescent="0.25">
      <c r="A271" s="3" t="s">
        <v>985</v>
      </c>
      <c r="B271" s="3" t="s">
        <v>984</v>
      </c>
      <c r="C271" s="3" t="s">
        <v>969</v>
      </c>
      <c r="D271" s="3" t="s">
        <v>969</v>
      </c>
      <c r="E271" s="3" t="s">
        <v>969</v>
      </c>
    </row>
    <row r="272" spans="1:5" ht="12.75" customHeight="1" x14ac:dyDescent="0.25">
      <c r="A272" s="3" t="s">
        <v>966</v>
      </c>
      <c r="B272" s="3" t="s">
        <v>965</v>
      </c>
      <c r="C272" s="3" t="s">
        <v>791</v>
      </c>
      <c r="D272" s="3" t="s">
        <v>962</v>
      </c>
      <c r="E272" s="3" t="s">
        <v>962</v>
      </c>
    </row>
    <row r="273" spans="1:5" ht="12.75" customHeight="1" x14ac:dyDescent="0.25">
      <c r="A273" s="3" t="s">
        <v>376</v>
      </c>
      <c r="B273" s="3" t="s">
        <v>375</v>
      </c>
      <c r="C273" s="3" t="s">
        <v>334</v>
      </c>
      <c r="D273" s="3" t="s">
        <v>347</v>
      </c>
      <c r="E273" s="3" t="s">
        <v>368</v>
      </c>
    </row>
    <row r="274" spans="1:5" ht="12.75" customHeight="1" x14ac:dyDescent="0.25">
      <c r="A274" s="3" t="s">
        <v>424</v>
      </c>
      <c r="B274" s="3" t="s">
        <v>423</v>
      </c>
      <c r="C274" s="3" t="s">
        <v>396</v>
      </c>
      <c r="D274" s="3" t="s">
        <v>397</v>
      </c>
      <c r="E274" s="3" t="s">
        <v>398</v>
      </c>
    </row>
    <row r="275" spans="1:5" ht="12.75" customHeight="1" x14ac:dyDescent="0.25">
      <c r="A275" s="3" t="s">
        <v>509</v>
      </c>
      <c r="B275" s="3" t="s">
        <v>508</v>
      </c>
      <c r="C275" s="3" t="s">
        <v>396</v>
      </c>
      <c r="D275" s="3" t="s">
        <v>501</v>
      </c>
      <c r="E275" s="3" t="s">
        <v>505</v>
      </c>
    </row>
    <row r="276" spans="1:5" ht="12.75" customHeight="1" x14ac:dyDescent="0.25">
      <c r="A276" s="3" t="s">
        <v>848</v>
      </c>
      <c r="B276" s="3" t="s">
        <v>847</v>
      </c>
      <c r="C276" s="3" t="s">
        <v>791</v>
      </c>
      <c r="D276" s="3" t="s">
        <v>792</v>
      </c>
      <c r="E276" s="3" t="s">
        <v>842</v>
      </c>
    </row>
    <row r="277" spans="1:5" ht="12.75" customHeight="1" x14ac:dyDescent="0.25">
      <c r="A277" s="3" t="s">
        <v>113</v>
      </c>
      <c r="B277" s="3" t="s">
        <v>112</v>
      </c>
      <c r="C277" s="3" t="s">
        <v>84</v>
      </c>
      <c r="D277" s="3" t="s">
        <v>99</v>
      </c>
      <c r="E277" s="3" t="s">
        <v>111</v>
      </c>
    </row>
    <row r="278" spans="1:5" ht="12.75" customHeight="1" x14ac:dyDescent="0.25">
      <c r="A278" s="3" t="s">
        <v>997</v>
      </c>
      <c r="B278" s="3" t="s">
        <v>996</v>
      </c>
      <c r="C278" s="3" t="s">
        <v>969</v>
      </c>
      <c r="D278" s="3" t="s">
        <v>969</v>
      </c>
      <c r="E278" s="3" t="s">
        <v>969</v>
      </c>
    </row>
    <row r="279" spans="1:5" ht="12.75" customHeight="1" x14ac:dyDescent="0.25">
      <c r="A279" s="3" t="s">
        <v>569</v>
      </c>
      <c r="B279" s="3" t="s">
        <v>568</v>
      </c>
      <c r="C279" s="3" t="s">
        <v>396</v>
      </c>
      <c r="D279" s="3" t="s">
        <v>327</v>
      </c>
      <c r="E279" s="3" t="s">
        <v>485</v>
      </c>
    </row>
    <row r="280" spans="1:5" ht="12.75" customHeight="1" x14ac:dyDescent="0.25">
      <c r="A280" s="3" t="s">
        <v>184</v>
      </c>
      <c r="B280" s="3" t="s">
        <v>183</v>
      </c>
      <c r="C280" s="3" t="s">
        <v>165</v>
      </c>
      <c r="D280" s="3" t="s">
        <v>166</v>
      </c>
      <c r="E280" s="3" t="s">
        <v>182</v>
      </c>
    </row>
    <row r="281" spans="1:5" ht="12.75" customHeight="1" x14ac:dyDescent="0.25">
      <c r="A281" s="3" t="s">
        <v>331</v>
      </c>
      <c r="B281" s="3" t="s">
        <v>330</v>
      </c>
      <c r="C281" s="3" t="s">
        <v>165</v>
      </c>
      <c r="D281" s="3" t="s">
        <v>327</v>
      </c>
      <c r="E281" s="3" t="s">
        <v>185</v>
      </c>
    </row>
    <row r="282" spans="1:5" ht="12.75" customHeight="1" x14ac:dyDescent="0.25">
      <c r="A282" s="3" t="s">
        <v>96</v>
      </c>
      <c r="B282" s="3" t="s">
        <v>95</v>
      </c>
      <c r="C282" s="3" t="s">
        <v>84</v>
      </c>
      <c r="D282" s="3" t="s">
        <v>85</v>
      </c>
      <c r="E282" s="3" t="s">
        <v>86</v>
      </c>
    </row>
    <row r="283" spans="1:5" ht="12.75" customHeight="1" x14ac:dyDescent="0.25">
      <c r="A283" s="3" t="s">
        <v>479</v>
      </c>
      <c r="B283" s="3" t="s">
        <v>478</v>
      </c>
      <c r="C283" s="3" t="s">
        <v>396</v>
      </c>
      <c r="D283" s="3" t="s">
        <v>441</v>
      </c>
      <c r="E283" s="3" t="s">
        <v>477</v>
      </c>
    </row>
    <row r="284" spans="1:5" ht="12.75" customHeight="1" x14ac:dyDescent="0.25">
      <c r="A284" s="3" t="s">
        <v>367</v>
      </c>
      <c r="B284" s="3" t="s">
        <v>366</v>
      </c>
      <c r="C284" s="3" t="s">
        <v>334</v>
      </c>
      <c r="D284" s="3" t="s">
        <v>347</v>
      </c>
      <c r="E284" s="3" t="s">
        <v>355</v>
      </c>
    </row>
    <row r="285" spans="1:5" ht="12.75" customHeight="1" x14ac:dyDescent="0.25">
      <c r="A285" s="3" t="s">
        <v>945</v>
      </c>
      <c r="B285" s="3" t="s">
        <v>944</v>
      </c>
      <c r="C285" s="3" t="s">
        <v>791</v>
      </c>
      <c r="D285" s="3" t="s">
        <v>921</v>
      </c>
      <c r="E285" s="3" t="s">
        <v>921</v>
      </c>
    </row>
    <row r="286" spans="1:5" ht="12.75" customHeight="1" x14ac:dyDescent="0.25">
      <c r="A286" s="3" t="s">
        <v>957</v>
      </c>
      <c r="B286" s="3" t="s">
        <v>956</v>
      </c>
      <c r="C286" s="3" t="s">
        <v>791</v>
      </c>
      <c r="D286" s="3" t="s">
        <v>955</v>
      </c>
      <c r="E286" s="3" t="s">
        <v>955</v>
      </c>
    </row>
    <row r="287" spans="1:5" ht="12.75" customHeight="1" x14ac:dyDescent="0.25">
      <c r="A287" s="3" t="s">
        <v>548</v>
      </c>
      <c r="B287" s="3" t="s">
        <v>547</v>
      </c>
      <c r="C287" s="3" t="s">
        <v>396</v>
      </c>
      <c r="D287" s="3" t="s">
        <v>528</v>
      </c>
      <c r="E287" s="3" t="s">
        <v>540</v>
      </c>
    </row>
    <row r="288" spans="1:5" ht="12.75" customHeight="1" x14ac:dyDescent="0.25">
      <c r="A288" s="3" t="s">
        <v>363</v>
      </c>
      <c r="B288" s="3" t="s">
        <v>362</v>
      </c>
      <c r="C288" s="3" t="s">
        <v>334</v>
      </c>
      <c r="D288" s="3" t="s">
        <v>347</v>
      </c>
      <c r="E288" s="3" t="s">
        <v>355</v>
      </c>
    </row>
    <row r="289" spans="1:5" ht="12.75" customHeight="1" x14ac:dyDescent="0.25">
      <c r="A289" s="3" t="s">
        <v>253</v>
      </c>
      <c r="B289" s="3" t="s">
        <v>252</v>
      </c>
      <c r="C289" s="3" t="s">
        <v>165</v>
      </c>
      <c r="D289" s="3" t="s">
        <v>238</v>
      </c>
      <c r="E289" s="3" t="s">
        <v>243</v>
      </c>
    </row>
    <row r="290" spans="1:5" ht="12.75" customHeight="1" x14ac:dyDescent="0.25">
      <c r="A290" s="3" t="s">
        <v>426</v>
      </c>
      <c r="B290" s="3" t="s">
        <v>425</v>
      </c>
      <c r="C290" s="3" t="s">
        <v>396</v>
      </c>
      <c r="D290" s="3" t="s">
        <v>397</v>
      </c>
      <c r="E290" s="3" t="s">
        <v>398</v>
      </c>
    </row>
    <row r="291" spans="1:5" ht="12.75" customHeight="1" x14ac:dyDescent="0.25">
      <c r="A291" s="3" t="s">
        <v>152</v>
      </c>
      <c r="B291" s="3" t="s">
        <v>151</v>
      </c>
      <c r="C291" s="3" t="s">
        <v>84</v>
      </c>
      <c r="D291" s="3" t="s">
        <v>140</v>
      </c>
      <c r="E291" s="3" t="s">
        <v>146</v>
      </c>
    </row>
    <row r="292" spans="1:5" ht="12.75" customHeight="1" x14ac:dyDescent="0.25">
      <c r="A292" s="3" t="s">
        <v>546</v>
      </c>
      <c r="B292" s="3" t="s">
        <v>545</v>
      </c>
      <c r="C292" s="3" t="s">
        <v>396</v>
      </c>
      <c r="D292" s="3" t="s">
        <v>528</v>
      </c>
      <c r="E292" s="3" t="s">
        <v>540</v>
      </c>
    </row>
    <row r="293" spans="1:5" ht="12.75" customHeight="1" x14ac:dyDescent="0.25">
      <c r="A293" s="3" t="s">
        <v>161</v>
      </c>
      <c r="B293" s="3" t="s">
        <v>160</v>
      </c>
      <c r="C293" s="3" t="s">
        <v>84</v>
      </c>
      <c r="D293" s="3" t="s">
        <v>159</v>
      </c>
      <c r="E293" s="3" t="s">
        <v>159</v>
      </c>
    </row>
    <row r="294" spans="1:5" ht="12.75" customHeight="1" x14ac:dyDescent="0.25">
      <c r="A294" s="3" t="s">
        <v>422</v>
      </c>
      <c r="B294" s="3" t="s">
        <v>421</v>
      </c>
      <c r="C294" s="3" t="s">
        <v>396</v>
      </c>
      <c r="D294" s="3" t="s">
        <v>397</v>
      </c>
      <c r="E294" s="3" t="s">
        <v>398</v>
      </c>
    </row>
    <row r="295" spans="1:5" ht="12.75" customHeight="1" x14ac:dyDescent="0.25">
      <c r="A295" s="3" t="s">
        <v>231</v>
      </c>
      <c r="B295" s="3" t="s">
        <v>230</v>
      </c>
      <c r="C295" s="3" t="s">
        <v>165</v>
      </c>
      <c r="D295" s="3" t="s">
        <v>205</v>
      </c>
      <c r="E295" s="3" t="s">
        <v>229</v>
      </c>
    </row>
    <row r="296" spans="1:5" ht="12.75" customHeight="1" x14ac:dyDescent="0.25">
      <c r="A296" s="3" t="s">
        <v>947</v>
      </c>
      <c r="B296" s="3" t="s">
        <v>946</v>
      </c>
      <c r="C296" s="3" t="s">
        <v>791</v>
      </c>
      <c r="D296" s="3" t="s">
        <v>921</v>
      </c>
      <c r="E296" s="3" t="s">
        <v>921</v>
      </c>
    </row>
    <row r="297" spans="1:5" ht="12.75" customHeight="1" x14ac:dyDescent="0.25">
      <c r="A297" s="3" t="s">
        <v>204</v>
      </c>
      <c r="B297" s="3" t="s">
        <v>203</v>
      </c>
      <c r="C297" s="3" t="s">
        <v>165</v>
      </c>
      <c r="D297" s="3" t="s">
        <v>185</v>
      </c>
      <c r="E297" s="3" t="s">
        <v>189</v>
      </c>
    </row>
    <row r="298" spans="1:5" ht="12.75" customHeight="1" x14ac:dyDescent="0.25">
      <c r="A298" s="3" t="s">
        <v>496</v>
      </c>
      <c r="B298" s="3" t="s">
        <v>495</v>
      </c>
      <c r="C298" s="3" t="s">
        <v>396</v>
      </c>
      <c r="D298" s="3" t="s">
        <v>494</v>
      </c>
      <c r="E298" s="3" t="s">
        <v>494</v>
      </c>
    </row>
    <row r="299" spans="1:5" ht="12.75" customHeight="1" x14ac:dyDescent="0.25">
      <c r="A299" s="3" t="s">
        <v>156</v>
      </c>
      <c r="B299" s="3" t="s">
        <v>155</v>
      </c>
      <c r="C299" s="3" t="s">
        <v>84</v>
      </c>
      <c r="D299" s="3" t="s">
        <v>140</v>
      </c>
      <c r="E299" s="3" t="s">
        <v>146</v>
      </c>
    </row>
    <row r="300" spans="1:5" ht="12.75" customHeight="1" x14ac:dyDescent="0.25">
      <c r="A300" s="3" t="s">
        <v>748</v>
      </c>
      <c r="B300" s="3" t="s">
        <v>747</v>
      </c>
      <c r="C300" s="3" t="s">
        <v>657</v>
      </c>
      <c r="D300" s="3" t="s">
        <v>658</v>
      </c>
      <c r="E300" s="3" t="s">
        <v>658</v>
      </c>
    </row>
    <row r="301" spans="1:5" ht="12.75" customHeight="1" x14ac:dyDescent="0.25">
      <c r="A301" s="3" t="s">
        <v>225</v>
      </c>
      <c r="B301" s="3" t="s">
        <v>224</v>
      </c>
      <c r="C301" s="3" t="s">
        <v>165</v>
      </c>
      <c r="D301" s="3" t="s">
        <v>205</v>
      </c>
      <c r="E301" s="3" t="s">
        <v>211</v>
      </c>
    </row>
    <row r="302" spans="1:5" ht="12.75" customHeight="1" x14ac:dyDescent="0.25">
      <c r="A302" s="3" t="s">
        <v>588</v>
      </c>
      <c r="B302" s="3" t="s">
        <v>587</v>
      </c>
      <c r="C302" s="3" t="s">
        <v>581</v>
      </c>
      <c r="D302" s="3" t="s">
        <v>582</v>
      </c>
      <c r="E302" s="3" t="s">
        <v>582</v>
      </c>
    </row>
    <row r="303" spans="1:5" ht="12.75" customHeight="1" x14ac:dyDescent="0.25">
      <c r="A303" s="3" t="s">
        <v>386</v>
      </c>
      <c r="B303" s="3" t="s">
        <v>385</v>
      </c>
      <c r="C303" s="3" t="s">
        <v>334</v>
      </c>
      <c r="D303" s="3" t="s">
        <v>383</v>
      </c>
      <c r="E303" s="3" t="s">
        <v>384</v>
      </c>
    </row>
    <row r="304" spans="1:5" ht="12.75" customHeight="1" x14ac:dyDescent="0.25">
      <c r="A304" s="3" t="s">
        <v>133</v>
      </c>
      <c r="B304" s="3" t="s">
        <v>132</v>
      </c>
      <c r="C304" s="3" t="s">
        <v>84</v>
      </c>
      <c r="D304" s="3" t="s">
        <v>121</v>
      </c>
      <c r="E304" s="3" t="s">
        <v>129</v>
      </c>
    </row>
    <row r="305" spans="1:5" ht="12.75" customHeight="1" x14ac:dyDescent="0.25">
      <c r="A305" s="3" t="s">
        <v>874</v>
      </c>
      <c r="B305" s="3" t="s">
        <v>873</v>
      </c>
      <c r="C305" s="3" t="s">
        <v>791</v>
      </c>
      <c r="D305" s="3" t="s">
        <v>856</v>
      </c>
      <c r="E305" s="3" t="s">
        <v>856</v>
      </c>
    </row>
    <row r="306" spans="1:5" ht="12.75" customHeight="1" x14ac:dyDescent="0.25">
      <c r="A306" s="3" t="s">
        <v>378</v>
      </c>
      <c r="B306" s="3" t="s">
        <v>377</v>
      </c>
      <c r="C306" s="3" t="s">
        <v>334</v>
      </c>
      <c r="D306" s="3" t="s">
        <v>347</v>
      </c>
      <c r="E306" s="3" t="s">
        <v>368</v>
      </c>
    </row>
    <row r="307" spans="1:5" ht="12.75" customHeight="1" x14ac:dyDescent="0.25">
      <c r="A307" s="3" t="s">
        <v>608</v>
      </c>
      <c r="B307" s="3" t="s">
        <v>607</v>
      </c>
      <c r="C307" s="3" t="s">
        <v>581</v>
      </c>
      <c r="D307" s="3" t="s">
        <v>592</v>
      </c>
      <c r="E307" s="3" t="s">
        <v>592</v>
      </c>
    </row>
    <row r="308" spans="1:5" ht="12.75" customHeight="1" x14ac:dyDescent="0.25">
      <c r="A308" s="3" t="s">
        <v>590</v>
      </c>
      <c r="B308" s="3" t="s">
        <v>589</v>
      </c>
      <c r="C308" s="3" t="s">
        <v>581</v>
      </c>
      <c r="D308" s="3" t="s">
        <v>582</v>
      </c>
      <c r="E308" s="3" t="s">
        <v>582</v>
      </c>
    </row>
    <row r="309" spans="1:5" ht="12.75" customHeight="1" x14ac:dyDescent="0.25">
      <c r="A309" s="3" t="s">
        <v>645</v>
      </c>
      <c r="B309" s="3" t="s">
        <v>644</v>
      </c>
      <c r="C309" s="3" t="s">
        <v>640</v>
      </c>
      <c r="D309" s="3" t="s">
        <v>641</v>
      </c>
      <c r="E309" s="3" t="s">
        <v>641</v>
      </c>
    </row>
    <row r="310" spans="1:5" ht="12.75" customHeight="1" x14ac:dyDescent="0.25">
      <c r="A310" s="3" t="s">
        <v>750</v>
      </c>
      <c r="B310" s="3" t="s">
        <v>749</v>
      </c>
      <c r="C310" s="3" t="s">
        <v>657</v>
      </c>
      <c r="D310" s="3" t="s">
        <v>658</v>
      </c>
      <c r="E310" s="3" t="s">
        <v>658</v>
      </c>
    </row>
    <row r="311" spans="1:5" ht="12.75" customHeight="1" x14ac:dyDescent="0.25">
      <c r="A311" s="3" t="s">
        <v>989</v>
      </c>
      <c r="B311" s="3" t="s">
        <v>988</v>
      </c>
      <c r="C311" s="3" t="s">
        <v>969</v>
      </c>
      <c r="D311" s="3" t="s">
        <v>969</v>
      </c>
      <c r="E311" s="3" t="s">
        <v>969</v>
      </c>
    </row>
    <row r="312" spans="1:5" ht="12.75" customHeight="1" x14ac:dyDescent="0.25">
      <c r="A312" s="3" t="s">
        <v>999</v>
      </c>
      <c r="B312" s="3" t="s">
        <v>998</v>
      </c>
      <c r="C312" s="3" t="s">
        <v>969</v>
      </c>
      <c r="D312" s="3" t="s">
        <v>969</v>
      </c>
      <c r="E312" s="3" t="s">
        <v>969</v>
      </c>
    </row>
    <row r="313" spans="1:5" ht="12.75" customHeight="1" x14ac:dyDescent="0.25">
      <c r="A313" s="3" t="s">
        <v>1007</v>
      </c>
      <c r="B313" s="3" t="s">
        <v>1006</v>
      </c>
      <c r="C313" s="3" t="s">
        <v>969</v>
      </c>
      <c r="D313" s="3" t="s">
        <v>969</v>
      </c>
      <c r="E313" s="3" t="s">
        <v>969</v>
      </c>
    </row>
    <row r="314" spans="1:5" ht="12.75" customHeight="1" x14ac:dyDescent="0.25">
      <c r="A314" s="3" t="s">
        <v>1009</v>
      </c>
      <c r="B314" s="3" t="s">
        <v>1008</v>
      </c>
      <c r="C314" s="3" t="s">
        <v>969</v>
      </c>
      <c r="D314" s="3" t="s">
        <v>969</v>
      </c>
      <c r="E314" s="3" t="s">
        <v>969</v>
      </c>
    </row>
    <row r="315" spans="1:5" s="4" customFormat="1" ht="12.75" customHeight="1" x14ac:dyDescent="0.25">
      <c r="A315" s="3" t="s">
        <v>83</v>
      </c>
      <c r="B315" s="3" t="s">
        <v>82</v>
      </c>
      <c r="C315" s="3" t="s">
        <v>59</v>
      </c>
      <c r="D315" s="3" t="s">
        <v>59</v>
      </c>
      <c r="E315" s="3" t="s">
        <v>79</v>
      </c>
    </row>
    <row r="316" spans="1:5" s="4" customFormat="1" ht="12.75" customHeight="1" x14ac:dyDescent="0.25">
      <c r="A316" s="3" t="s">
        <v>752</v>
      </c>
      <c r="B316" s="3" t="s">
        <v>751</v>
      </c>
      <c r="C316" s="3" t="s">
        <v>657</v>
      </c>
      <c r="D316" s="3" t="s">
        <v>658</v>
      </c>
      <c r="E316" s="3" t="s">
        <v>658</v>
      </c>
    </row>
    <row r="317" spans="1:5" ht="12.75" customHeight="1" x14ac:dyDescent="0.25">
      <c r="A317" s="3" t="s">
        <v>604</v>
      </c>
      <c r="B317" s="3" t="s">
        <v>603</v>
      </c>
      <c r="C317" s="3" t="s">
        <v>581</v>
      </c>
      <c r="D317" s="3" t="s">
        <v>592</v>
      </c>
      <c r="E317" s="3" t="s">
        <v>592</v>
      </c>
    </row>
    <row r="318" spans="1:5" ht="12.75" customHeight="1" x14ac:dyDescent="0.25">
      <c r="A318" s="3" t="s">
        <v>115</v>
      </c>
      <c r="B318" s="3" t="s">
        <v>114</v>
      </c>
      <c r="C318" s="3" t="s">
        <v>84</v>
      </c>
      <c r="D318" s="3" t="s">
        <v>99</v>
      </c>
      <c r="E318" s="3" t="s">
        <v>111</v>
      </c>
    </row>
    <row r="319" spans="1:5" ht="12.75" customHeight="1" x14ac:dyDescent="0.25">
      <c r="A319" s="3" t="s">
        <v>395</v>
      </c>
      <c r="B319" s="3" t="s">
        <v>394</v>
      </c>
      <c r="C319" s="3" t="s">
        <v>334</v>
      </c>
      <c r="D319" s="3" t="s">
        <v>390</v>
      </c>
      <c r="E319" s="3" t="s">
        <v>391</v>
      </c>
    </row>
    <row r="320" spans="1:5" ht="12.75" customHeight="1" x14ac:dyDescent="0.25">
      <c r="A320" s="3" t="s">
        <v>428</v>
      </c>
      <c r="B320" s="3" t="s">
        <v>427</v>
      </c>
      <c r="C320" s="3" t="s">
        <v>396</v>
      </c>
      <c r="D320" s="3" t="s">
        <v>397</v>
      </c>
      <c r="E320" s="3" t="s">
        <v>398</v>
      </c>
    </row>
    <row r="321" spans="1:5" ht="12.75" customHeight="1" x14ac:dyDescent="0.25">
      <c r="A321" s="3" t="s">
        <v>876</v>
      </c>
      <c r="B321" s="3" t="s">
        <v>875</v>
      </c>
      <c r="C321" s="3" t="s">
        <v>791</v>
      </c>
      <c r="D321" s="3" t="s">
        <v>856</v>
      </c>
      <c r="E321" s="3" t="s">
        <v>856</v>
      </c>
    </row>
    <row r="322" spans="1:5" ht="12.75" customHeight="1" x14ac:dyDescent="0.25">
      <c r="A322" s="3" t="s">
        <v>959</v>
      </c>
      <c r="B322" s="3" t="s">
        <v>958</v>
      </c>
      <c r="C322" s="3" t="s">
        <v>791</v>
      </c>
      <c r="D322" s="3" t="s">
        <v>955</v>
      </c>
      <c r="E322" s="3" t="s">
        <v>955</v>
      </c>
    </row>
    <row r="323" spans="1:5" ht="12.75" customHeight="1" x14ac:dyDescent="0.25">
      <c r="A323" s="3" t="s">
        <v>71</v>
      </c>
      <c r="B323" s="3" t="s">
        <v>70</v>
      </c>
      <c r="C323" s="3" t="s">
        <v>59</v>
      </c>
      <c r="D323" s="3" t="s">
        <v>59</v>
      </c>
      <c r="E323" s="3" t="s">
        <v>60</v>
      </c>
    </row>
    <row r="324" spans="1:5" ht="12.75" customHeight="1" x14ac:dyDescent="0.25">
      <c r="A324" s="3" t="s">
        <v>621</v>
      </c>
      <c r="B324" s="3" t="s">
        <v>620</v>
      </c>
      <c r="C324" s="3" t="s">
        <v>581</v>
      </c>
      <c r="D324" s="3" t="s">
        <v>390</v>
      </c>
      <c r="E324" s="3" t="s">
        <v>582</v>
      </c>
    </row>
    <row r="325" spans="1:5" ht="12.75" customHeight="1" x14ac:dyDescent="0.25">
      <c r="A325" s="3" t="s">
        <v>839</v>
      </c>
      <c r="B325" s="3" t="s">
        <v>838</v>
      </c>
      <c r="C325" s="3" t="s">
        <v>791</v>
      </c>
      <c r="D325" s="3" t="s">
        <v>792</v>
      </c>
      <c r="E325" s="3" t="s">
        <v>793</v>
      </c>
    </row>
    <row r="326" spans="1:5" ht="12.75" customHeight="1" x14ac:dyDescent="0.25">
      <c r="A326" s="3" t="s">
        <v>500</v>
      </c>
      <c r="B326" s="3" t="s">
        <v>499</v>
      </c>
      <c r="C326" s="3" t="s">
        <v>396</v>
      </c>
      <c r="D326" s="3" t="s">
        <v>494</v>
      </c>
      <c r="E326" s="3" t="s">
        <v>494</v>
      </c>
    </row>
    <row r="327" spans="1:5" ht="12.75" customHeight="1" x14ac:dyDescent="0.25">
      <c r="A327" s="3" t="s">
        <v>878</v>
      </c>
      <c r="B327" s="3" t="s">
        <v>877</v>
      </c>
      <c r="C327" s="3" t="s">
        <v>791</v>
      </c>
      <c r="D327" s="3" t="s">
        <v>856</v>
      </c>
      <c r="E327" s="3" t="s">
        <v>856</v>
      </c>
    </row>
    <row r="328" spans="1:5" ht="12.75" customHeight="1" x14ac:dyDescent="0.25">
      <c r="A328" s="3" t="s">
        <v>120</v>
      </c>
      <c r="B328" s="3" t="s">
        <v>119</v>
      </c>
      <c r="C328" s="3" t="s">
        <v>84</v>
      </c>
      <c r="D328" s="3" t="s">
        <v>99</v>
      </c>
      <c r="E328" s="3" t="s">
        <v>118</v>
      </c>
    </row>
    <row r="329" spans="1:5" ht="12.75" customHeight="1" x14ac:dyDescent="0.25">
      <c r="A329" s="3" t="s">
        <v>968</v>
      </c>
      <c r="B329" s="3" t="s">
        <v>967</v>
      </c>
      <c r="C329" s="3" t="s">
        <v>791</v>
      </c>
      <c r="D329" s="3" t="s">
        <v>962</v>
      </c>
      <c r="E329" s="3" t="s">
        <v>962</v>
      </c>
    </row>
    <row r="330" spans="1:5" ht="12.75" customHeight="1" x14ac:dyDescent="0.25">
      <c r="A330" s="3" t="s">
        <v>617</v>
      </c>
      <c r="B330" s="3" t="s">
        <v>616</v>
      </c>
      <c r="C330" s="3" t="s">
        <v>581</v>
      </c>
      <c r="D330" s="3" t="s">
        <v>390</v>
      </c>
      <c r="E330" s="3" t="s">
        <v>582</v>
      </c>
    </row>
    <row r="331" spans="1:5" ht="12.75" customHeight="1" x14ac:dyDescent="0.25">
      <c r="A331" s="3" t="s">
        <v>193</v>
      </c>
      <c r="B331" s="3" t="s">
        <v>192</v>
      </c>
      <c r="C331" s="3" t="s">
        <v>165</v>
      </c>
      <c r="D331" s="3" t="s">
        <v>185</v>
      </c>
      <c r="E331" s="3" t="s">
        <v>189</v>
      </c>
    </row>
    <row r="332" spans="1:5" ht="12.75" customHeight="1" x14ac:dyDescent="0.25">
      <c r="A332" s="3" t="s">
        <v>627</v>
      </c>
      <c r="B332" s="3" t="s">
        <v>626</v>
      </c>
      <c r="C332" s="3" t="s">
        <v>624</v>
      </c>
      <c r="D332" s="3" t="s">
        <v>625</v>
      </c>
      <c r="E332" s="3" t="s">
        <v>625</v>
      </c>
    </row>
    <row r="333" spans="1:5" ht="12.75" customHeight="1" x14ac:dyDescent="0.25">
      <c r="A333" s="3" t="s">
        <v>1001</v>
      </c>
      <c r="B333" s="3" t="s">
        <v>1000</v>
      </c>
      <c r="C333" s="3" t="s">
        <v>969</v>
      </c>
      <c r="D333" s="3" t="s">
        <v>969</v>
      </c>
      <c r="E333" s="3" t="s">
        <v>969</v>
      </c>
    </row>
    <row r="334" spans="1:5" ht="12.75" customHeight="1" x14ac:dyDescent="0.25">
      <c r="A334" s="3" t="s">
        <v>897</v>
      </c>
      <c r="B334" s="3" t="s">
        <v>897</v>
      </c>
      <c r="C334" s="3" t="s">
        <v>791</v>
      </c>
      <c r="D334" s="3" t="s">
        <v>887</v>
      </c>
      <c r="E334" s="3" t="s">
        <v>888</v>
      </c>
    </row>
    <row r="335" spans="1:5" ht="12.75" customHeight="1" x14ac:dyDescent="0.25">
      <c r="A335" s="3" t="s">
        <v>837</v>
      </c>
      <c r="B335" s="3" t="s">
        <v>836</v>
      </c>
      <c r="C335" s="3" t="s">
        <v>791</v>
      </c>
      <c r="D335" s="3" t="s">
        <v>792</v>
      </c>
      <c r="E335" s="3" t="s">
        <v>793</v>
      </c>
    </row>
    <row r="336" spans="1:5" ht="12.75" customHeight="1" x14ac:dyDescent="0.25">
      <c r="A336" s="3" t="s">
        <v>76</v>
      </c>
      <c r="B336" s="3" t="s">
        <v>75</v>
      </c>
      <c r="C336" s="3" t="s">
        <v>59</v>
      </c>
      <c r="D336" s="3" t="s">
        <v>59</v>
      </c>
      <c r="E336" s="3" t="s">
        <v>60</v>
      </c>
    </row>
    <row r="337" spans="1:5" ht="12.75" customHeight="1" x14ac:dyDescent="0.25">
      <c r="A337" s="3" t="s">
        <v>754</v>
      </c>
      <c r="B337" s="3" t="s">
        <v>753</v>
      </c>
      <c r="C337" s="3" t="s">
        <v>657</v>
      </c>
      <c r="D337" s="3" t="s">
        <v>658</v>
      </c>
      <c r="E337" s="3" t="s">
        <v>658</v>
      </c>
    </row>
    <row r="338" spans="1:5" ht="12.75" customHeight="1" x14ac:dyDescent="0.25">
      <c r="A338" s="3" t="s">
        <v>324</v>
      </c>
      <c r="B338" s="3" t="s">
        <v>323</v>
      </c>
      <c r="C338" s="3" t="s">
        <v>165</v>
      </c>
      <c r="D338" s="3" t="s">
        <v>182</v>
      </c>
      <c r="E338" s="3" t="s">
        <v>182</v>
      </c>
    </row>
    <row r="339" spans="1:5" ht="12.75" customHeight="1" x14ac:dyDescent="0.25">
      <c r="A339" s="3" t="s">
        <v>1003</v>
      </c>
      <c r="B339" s="3" t="s">
        <v>1002</v>
      </c>
      <c r="C339" s="3" t="s">
        <v>969</v>
      </c>
      <c r="D339" s="3" t="s">
        <v>969</v>
      </c>
      <c r="E339" s="3" t="s">
        <v>969</v>
      </c>
    </row>
    <row r="340" spans="1:5" ht="12.75" customHeight="1" x14ac:dyDescent="0.25">
      <c r="A340" s="3" t="s">
        <v>911</v>
      </c>
      <c r="B340" s="3" t="s">
        <v>910</v>
      </c>
      <c r="C340" s="3" t="s">
        <v>791</v>
      </c>
      <c r="D340" s="3" t="s">
        <v>902</v>
      </c>
      <c r="E340" s="3" t="s">
        <v>903</v>
      </c>
    </row>
    <row r="341" spans="1:5" ht="12.75" customHeight="1" x14ac:dyDescent="0.25">
      <c r="A341" s="3" t="s">
        <v>301</v>
      </c>
      <c r="B341" s="3" t="s">
        <v>300</v>
      </c>
      <c r="C341" s="3" t="s">
        <v>165</v>
      </c>
      <c r="D341" s="3" t="s">
        <v>238</v>
      </c>
      <c r="E341" s="3" t="s">
        <v>297</v>
      </c>
    </row>
    <row r="342" spans="1:5" ht="12.75" customHeight="1" x14ac:dyDescent="0.25">
      <c r="A342" s="3" t="s">
        <v>173</v>
      </c>
      <c r="B342" s="3" t="s">
        <v>172</v>
      </c>
      <c r="C342" s="3" t="s">
        <v>165</v>
      </c>
      <c r="D342" s="3" t="s">
        <v>166</v>
      </c>
      <c r="E342" s="3" t="s">
        <v>167</v>
      </c>
    </row>
    <row r="343" spans="1:5" ht="12.75" customHeight="1" x14ac:dyDescent="0.25">
      <c r="A343" s="3" t="s">
        <v>227</v>
      </c>
      <c r="B343" s="3" t="s">
        <v>226</v>
      </c>
      <c r="C343" s="3" t="s">
        <v>165</v>
      </c>
      <c r="D343" s="3" t="s">
        <v>205</v>
      </c>
      <c r="E343" s="3" t="s">
        <v>211</v>
      </c>
    </row>
    <row r="344" spans="1:5" ht="12.75" customHeight="1" x14ac:dyDescent="0.25">
      <c r="A344" s="3" t="s">
        <v>456</v>
      </c>
      <c r="B344" s="3" t="s">
        <v>455</v>
      </c>
      <c r="C344" s="3" t="s">
        <v>396</v>
      </c>
      <c r="D344" s="3" t="s">
        <v>441</v>
      </c>
      <c r="E344" s="3" t="s">
        <v>442</v>
      </c>
    </row>
    <row r="345" spans="1:5" ht="12.75" customHeight="1" x14ac:dyDescent="0.25">
      <c r="A345" s="3" t="s">
        <v>610</v>
      </c>
      <c r="B345" s="3" t="s">
        <v>609</v>
      </c>
      <c r="C345" s="3" t="s">
        <v>581</v>
      </c>
      <c r="D345" s="3" t="s">
        <v>592</v>
      </c>
      <c r="E345" s="3" t="s">
        <v>592</v>
      </c>
    </row>
    <row r="346" spans="1:5" ht="12.75" customHeight="1" x14ac:dyDescent="0.25">
      <c r="A346" s="3" t="s">
        <v>635</v>
      </c>
      <c r="B346" s="3" t="s">
        <v>634</v>
      </c>
      <c r="C346" s="3" t="s">
        <v>624</v>
      </c>
      <c r="D346" s="3" t="s">
        <v>628</v>
      </c>
      <c r="E346" s="3" t="s">
        <v>628</v>
      </c>
    </row>
    <row r="347" spans="1:5" ht="12.75" customHeight="1" x14ac:dyDescent="0.25">
      <c r="A347" s="3" t="s">
        <v>971</v>
      </c>
      <c r="B347" s="3" t="s">
        <v>970</v>
      </c>
      <c r="C347" s="3" t="s">
        <v>969</v>
      </c>
      <c r="D347" s="3" t="s">
        <v>969</v>
      </c>
      <c r="E347" s="3" t="s">
        <v>969</v>
      </c>
    </row>
    <row r="348" spans="1:5" ht="12.75" customHeight="1" x14ac:dyDescent="0.25">
      <c r="A348" s="3" t="s">
        <v>623</v>
      </c>
      <c r="B348" s="3" t="s">
        <v>622</v>
      </c>
      <c r="C348" s="3" t="s">
        <v>581</v>
      </c>
      <c r="D348" s="3" t="s">
        <v>390</v>
      </c>
      <c r="E348" s="3" t="s">
        <v>582</v>
      </c>
    </row>
    <row r="349" spans="1:5" ht="12.75" customHeight="1" x14ac:dyDescent="0.25">
      <c r="A349" s="3" t="s">
        <v>255</v>
      </c>
      <c r="B349" s="3" t="s">
        <v>254</v>
      </c>
      <c r="C349" s="3" t="s">
        <v>165</v>
      </c>
      <c r="D349" s="3" t="s">
        <v>238</v>
      </c>
      <c r="E349" s="3" t="s">
        <v>243</v>
      </c>
    </row>
    <row r="350" spans="1:5" ht="12.75" customHeight="1" x14ac:dyDescent="0.25">
      <c r="A350" s="3" t="s">
        <v>148</v>
      </c>
      <c r="B350" s="3" t="s">
        <v>147</v>
      </c>
      <c r="C350" s="3" t="s">
        <v>84</v>
      </c>
      <c r="D350" s="3" t="s">
        <v>140</v>
      </c>
      <c r="E350" s="3" t="s">
        <v>146</v>
      </c>
    </row>
    <row r="351" spans="1:5" ht="12.75" customHeight="1" x14ac:dyDescent="0.25">
      <c r="A351" s="3" t="s">
        <v>196</v>
      </c>
      <c r="B351" s="3" t="s">
        <v>195</v>
      </c>
      <c r="C351" s="3" t="s">
        <v>165</v>
      </c>
      <c r="D351" s="3" t="s">
        <v>185</v>
      </c>
      <c r="E351" s="3" t="s">
        <v>189</v>
      </c>
    </row>
    <row r="352" spans="1:5" ht="12.75" customHeight="1" x14ac:dyDescent="0.25">
      <c r="A352" s="3" t="s">
        <v>880</v>
      </c>
      <c r="B352" s="3" t="s">
        <v>879</v>
      </c>
      <c r="C352" s="3" t="s">
        <v>791</v>
      </c>
      <c r="D352" s="3" t="s">
        <v>856</v>
      </c>
      <c r="E352" s="3" t="s">
        <v>856</v>
      </c>
    </row>
    <row r="353" spans="1:5" ht="12.75" customHeight="1" x14ac:dyDescent="0.25">
      <c r="A353" s="3" t="s">
        <v>198</v>
      </c>
      <c r="B353" s="3" t="s">
        <v>197</v>
      </c>
      <c r="C353" s="3" t="s">
        <v>165</v>
      </c>
      <c r="D353" s="3" t="s">
        <v>185</v>
      </c>
      <c r="E353" s="3" t="s">
        <v>189</v>
      </c>
    </row>
    <row r="354" spans="1:5" ht="12.75" customHeight="1" x14ac:dyDescent="0.25">
      <c r="A354" s="3" t="s">
        <v>430</v>
      </c>
      <c r="B354" s="3" t="s">
        <v>429</v>
      </c>
      <c r="C354" s="3" t="s">
        <v>396</v>
      </c>
      <c r="D354" s="3" t="s">
        <v>397</v>
      </c>
      <c r="E354" s="3" t="s">
        <v>398</v>
      </c>
    </row>
    <row r="355" spans="1:5" ht="12.75" customHeight="1" x14ac:dyDescent="0.25">
      <c r="A355" s="3" t="s">
        <v>288</v>
      </c>
      <c r="B355" s="3" t="s">
        <v>287</v>
      </c>
      <c r="C355" s="3" t="s">
        <v>165</v>
      </c>
      <c r="D355" s="3" t="s">
        <v>238</v>
      </c>
      <c r="E355" s="3" t="s">
        <v>266</v>
      </c>
    </row>
    <row r="356" spans="1:5" ht="12.75" customHeight="1" x14ac:dyDescent="0.25">
      <c r="A356" s="3" t="s">
        <v>756</v>
      </c>
      <c r="B356" s="3" t="s">
        <v>755</v>
      </c>
      <c r="C356" s="3" t="s">
        <v>657</v>
      </c>
      <c r="D356" s="3" t="s">
        <v>658</v>
      </c>
      <c r="E356" s="3" t="s">
        <v>658</v>
      </c>
    </row>
    <row r="357" spans="1:5" ht="12.75" customHeight="1" x14ac:dyDescent="0.25">
      <c r="A357" s="3" t="s">
        <v>542</v>
      </c>
      <c r="B357" s="3" t="s">
        <v>541</v>
      </c>
      <c r="C357" s="3" t="s">
        <v>396</v>
      </c>
      <c r="D357" s="3" t="s">
        <v>528</v>
      </c>
      <c r="E357" s="3" t="s">
        <v>540</v>
      </c>
    </row>
    <row r="358" spans="1:5" ht="12.75" customHeight="1" x14ac:dyDescent="0.25">
      <c r="A358" s="3" t="s">
        <v>352</v>
      </c>
      <c r="B358" s="3" t="s">
        <v>351</v>
      </c>
      <c r="C358" s="3" t="s">
        <v>334</v>
      </c>
      <c r="D358" s="3" t="s">
        <v>347</v>
      </c>
      <c r="E358" s="3" t="s">
        <v>348</v>
      </c>
    </row>
    <row r="359" spans="1:5" ht="12.75" customHeight="1" x14ac:dyDescent="0.25">
      <c r="A359" s="3" t="s">
        <v>249</v>
      </c>
      <c r="B359" s="3" t="s">
        <v>248</v>
      </c>
      <c r="C359" s="3" t="s">
        <v>165</v>
      </c>
      <c r="D359" s="3" t="s">
        <v>238</v>
      </c>
      <c r="E359" s="3" t="s">
        <v>243</v>
      </c>
    </row>
    <row r="360" spans="1:5" ht="12.75" customHeight="1" x14ac:dyDescent="0.25">
      <c r="A360" s="3" t="s">
        <v>758</v>
      </c>
      <c r="B360" s="3" t="s">
        <v>757</v>
      </c>
      <c r="C360" s="3" t="s">
        <v>657</v>
      </c>
      <c r="D360" s="3" t="s">
        <v>658</v>
      </c>
      <c r="E360" s="3" t="s">
        <v>658</v>
      </c>
    </row>
    <row r="361" spans="1:5" ht="12.75" customHeight="1" x14ac:dyDescent="0.25">
      <c r="A361" s="3" t="s">
        <v>217</v>
      </c>
      <c r="B361" s="3" t="s">
        <v>216</v>
      </c>
      <c r="C361" s="3" t="s">
        <v>165</v>
      </c>
      <c r="D361" s="3" t="s">
        <v>205</v>
      </c>
      <c r="E361" s="3" t="s">
        <v>211</v>
      </c>
    </row>
    <row r="362" spans="1:5" ht="12.75" customHeight="1" x14ac:dyDescent="0.25">
      <c r="A362" s="3" t="s">
        <v>797</v>
      </c>
      <c r="B362" s="3" t="s">
        <v>796</v>
      </c>
      <c r="C362" s="3" t="s">
        <v>791</v>
      </c>
      <c r="D362" s="3" t="s">
        <v>792</v>
      </c>
      <c r="E362" s="3" t="s">
        <v>793</v>
      </c>
    </row>
    <row r="363" spans="1:5" ht="12.75" customHeight="1" x14ac:dyDescent="0.25">
      <c r="A363" s="3" t="s">
        <v>69</v>
      </c>
      <c r="B363" s="3" t="s">
        <v>68</v>
      </c>
      <c r="C363" s="3" t="s">
        <v>59</v>
      </c>
      <c r="D363" s="3" t="s">
        <v>59</v>
      </c>
      <c r="E363" s="3" t="s">
        <v>60</v>
      </c>
    </row>
    <row r="364" spans="1:5" ht="12.75" customHeight="1" x14ac:dyDescent="0.25">
      <c r="A364" s="3" t="s">
        <v>272</v>
      </c>
      <c r="B364" s="3" t="s">
        <v>271</v>
      </c>
      <c r="C364" s="3" t="s">
        <v>165</v>
      </c>
      <c r="D364" s="3" t="s">
        <v>238</v>
      </c>
      <c r="E364" s="3" t="s">
        <v>266</v>
      </c>
    </row>
    <row r="365" spans="1:5" ht="12.75" customHeight="1" x14ac:dyDescent="0.25">
      <c r="A365" s="3" t="s">
        <v>432</v>
      </c>
      <c r="B365" s="3" t="s">
        <v>431</v>
      </c>
      <c r="C365" s="3" t="s">
        <v>396</v>
      </c>
      <c r="D365" s="3" t="s">
        <v>397</v>
      </c>
      <c r="E365" s="3" t="s">
        <v>398</v>
      </c>
    </row>
    <row r="366" spans="1:5" ht="12.75" customHeight="1" x14ac:dyDescent="0.25">
      <c r="A366" s="3" t="s">
        <v>200</v>
      </c>
      <c r="B366" s="3" t="s">
        <v>199</v>
      </c>
      <c r="C366" s="3" t="s">
        <v>165</v>
      </c>
      <c r="D366" s="3" t="s">
        <v>185</v>
      </c>
      <c r="E366" s="3" t="s">
        <v>189</v>
      </c>
    </row>
    <row r="367" spans="1:5" ht="12.75" customHeight="1" x14ac:dyDescent="0.25">
      <c r="A367" s="3" t="s">
        <v>305</v>
      </c>
      <c r="B367" s="3" t="s">
        <v>304</v>
      </c>
      <c r="C367" s="3" t="s">
        <v>165</v>
      </c>
      <c r="D367" s="3" t="s">
        <v>238</v>
      </c>
      <c r="E367" s="3" t="s">
        <v>297</v>
      </c>
    </row>
    <row r="368" spans="1:5" ht="12.75" customHeight="1" x14ac:dyDescent="0.25">
      <c r="A368" s="3" t="s">
        <v>841</v>
      </c>
      <c r="B368" s="3" t="s">
        <v>840</v>
      </c>
      <c r="C368" s="3" t="s">
        <v>791</v>
      </c>
      <c r="D368" s="3" t="s">
        <v>792</v>
      </c>
      <c r="E368" s="3" t="s">
        <v>793</v>
      </c>
    </row>
    <row r="369" spans="1:5" ht="12.75" customHeight="1" x14ac:dyDescent="0.25">
      <c r="A369" s="3" t="s">
        <v>783</v>
      </c>
      <c r="B369" s="3" t="s">
        <v>782</v>
      </c>
      <c r="C369" s="3" t="s">
        <v>657</v>
      </c>
      <c r="D369" s="3" t="s">
        <v>773</v>
      </c>
      <c r="E369" s="3" t="s">
        <v>773</v>
      </c>
    </row>
    <row r="370" spans="1:5" ht="12.75" customHeight="1" x14ac:dyDescent="0.25">
      <c r="A370" s="3" t="s">
        <v>781</v>
      </c>
      <c r="B370" s="3" t="s">
        <v>780</v>
      </c>
      <c r="C370" s="3" t="s">
        <v>657</v>
      </c>
      <c r="D370" s="3" t="s">
        <v>773</v>
      </c>
      <c r="E370" s="3" t="s">
        <v>773</v>
      </c>
    </row>
    <row r="371" spans="1:5" ht="12.75" customHeight="1" x14ac:dyDescent="0.25">
      <c r="A371" s="3" t="s">
        <v>949</v>
      </c>
      <c r="B371" s="3" t="s">
        <v>948</v>
      </c>
      <c r="C371" s="3" t="s">
        <v>791</v>
      </c>
      <c r="D371" s="3" t="s">
        <v>921</v>
      </c>
      <c r="E371" s="3" t="s">
        <v>921</v>
      </c>
    </row>
    <row r="372" spans="1:5" ht="12.75" customHeight="1" x14ac:dyDescent="0.25">
      <c r="A372" s="3" t="s">
        <v>537</v>
      </c>
      <c r="B372" s="3" t="s">
        <v>536</v>
      </c>
      <c r="C372" s="3" t="s">
        <v>396</v>
      </c>
      <c r="D372" s="3" t="s">
        <v>528</v>
      </c>
      <c r="E372" s="3" t="s">
        <v>529</v>
      </c>
    </row>
    <row r="373" spans="1:5" ht="12.75" customHeight="1" x14ac:dyDescent="0.25">
      <c r="A373" s="3" t="s">
        <v>460</v>
      </c>
      <c r="B373" s="3" t="s">
        <v>459</v>
      </c>
      <c r="C373" s="3" t="s">
        <v>396</v>
      </c>
      <c r="D373" s="3" t="s">
        <v>441</v>
      </c>
      <c r="E373" s="3" t="s">
        <v>442</v>
      </c>
    </row>
    <row r="374" spans="1:5" ht="12.75" customHeight="1" x14ac:dyDescent="0.25">
      <c r="A374" s="3" t="s">
        <v>521</v>
      </c>
      <c r="B374" s="3" t="s">
        <v>520</v>
      </c>
      <c r="C374" s="3" t="s">
        <v>396</v>
      </c>
      <c r="D374" s="3" t="s">
        <v>510</v>
      </c>
      <c r="E374" s="3" t="s">
        <v>517</v>
      </c>
    </row>
    <row r="375" spans="1:5" ht="12.75" customHeight="1" x14ac:dyDescent="0.25">
      <c r="A375" s="3" t="s">
        <v>208</v>
      </c>
      <c r="B375" s="3" t="s">
        <v>207</v>
      </c>
      <c r="C375" s="3" t="s">
        <v>165</v>
      </c>
      <c r="D375" s="3" t="s">
        <v>205</v>
      </c>
      <c r="E375" s="3" t="s">
        <v>206</v>
      </c>
    </row>
    <row r="376" spans="1:5" ht="12.75" customHeight="1" x14ac:dyDescent="0.25">
      <c r="A376" s="3" t="s">
        <v>344</v>
      </c>
      <c r="B376" s="3" t="s">
        <v>343</v>
      </c>
      <c r="C376" s="3" t="s">
        <v>334</v>
      </c>
      <c r="D376" s="3" t="s">
        <v>335</v>
      </c>
      <c r="E376" s="3" t="s">
        <v>336</v>
      </c>
    </row>
    <row r="377" spans="1:5" ht="12.75" customHeight="1" x14ac:dyDescent="0.25">
      <c r="A377" s="3" t="s">
        <v>1005</v>
      </c>
      <c r="B377" s="3" t="s">
        <v>1004</v>
      </c>
      <c r="C377" s="3" t="s">
        <v>969</v>
      </c>
      <c r="D377" s="3" t="s">
        <v>969</v>
      </c>
      <c r="E377" s="3" t="s">
        <v>969</v>
      </c>
    </row>
    <row r="378" spans="1:5" ht="12.75" customHeight="1" x14ac:dyDescent="0.25">
      <c r="A378" s="3" t="s">
        <v>580</v>
      </c>
      <c r="B378" s="3" t="s">
        <v>579</v>
      </c>
      <c r="C378" s="3" t="s">
        <v>396</v>
      </c>
      <c r="D378" s="3" t="s">
        <v>327</v>
      </c>
      <c r="E378" s="3" t="s">
        <v>572</v>
      </c>
    </row>
    <row r="379" spans="1:5" ht="12.75" customHeight="1" x14ac:dyDescent="0.25">
      <c r="A379" s="3" t="s">
        <v>527</v>
      </c>
      <c r="B379" s="3" t="s">
        <v>526</v>
      </c>
      <c r="C379" s="3" t="s">
        <v>396</v>
      </c>
      <c r="D379" s="3" t="s">
        <v>510</v>
      </c>
      <c r="E379" s="3" t="s">
        <v>525</v>
      </c>
    </row>
    <row r="380" spans="1:5" ht="12.75" customHeight="1" x14ac:dyDescent="0.25">
      <c r="A380" s="3" t="s">
        <v>553</v>
      </c>
      <c r="B380" s="3" t="s">
        <v>552</v>
      </c>
      <c r="C380" s="3" t="s">
        <v>396</v>
      </c>
      <c r="D380" s="3" t="s">
        <v>528</v>
      </c>
      <c r="E380" s="3" t="s">
        <v>551</v>
      </c>
    </row>
    <row r="381" spans="1:5" ht="12.75" customHeight="1" x14ac:dyDescent="0.25">
      <c r="A381" s="3" t="s">
        <v>354</v>
      </c>
      <c r="B381" s="3" t="s">
        <v>353</v>
      </c>
      <c r="C381" s="3" t="s">
        <v>334</v>
      </c>
      <c r="D381" s="3" t="s">
        <v>347</v>
      </c>
      <c r="E381" s="3" t="s">
        <v>348</v>
      </c>
    </row>
    <row r="382" spans="1:5" s="4" customFormat="1" ht="12.75" customHeight="1" x14ac:dyDescent="0.25">
      <c r="A382" s="3" t="s">
        <v>785</v>
      </c>
      <c r="B382" s="3" t="s">
        <v>784</v>
      </c>
      <c r="C382" s="3" t="s">
        <v>657</v>
      </c>
      <c r="D382" s="3" t="s">
        <v>773</v>
      </c>
      <c r="E382" s="3" t="s">
        <v>773</v>
      </c>
    </row>
    <row r="383" spans="1:5" s="4" customFormat="1" ht="12.75" customHeight="1" x14ac:dyDescent="0.25">
      <c r="A383" s="3" t="s">
        <v>164</v>
      </c>
      <c r="B383" s="3" t="s">
        <v>163</v>
      </c>
      <c r="C383" s="3" t="s">
        <v>84</v>
      </c>
      <c r="D383" s="3" t="s">
        <v>162</v>
      </c>
      <c r="E383" s="3" t="s">
        <v>162</v>
      </c>
    </row>
    <row r="384" spans="1:5" ht="12.75" customHeight="1" x14ac:dyDescent="0.25">
      <c r="A384" s="3" t="s">
        <v>179</v>
      </c>
      <c r="B384" s="3" t="s">
        <v>178</v>
      </c>
      <c r="C384" s="3" t="s">
        <v>165</v>
      </c>
      <c r="D384" s="3" t="s">
        <v>166</v>
      </c>
      <c r="E384" s="3" t="s">
        <v>177</v>
      </c>
    </row>
    <row r="385" spans="1:5" ht="12.75" customHeight="1" x14ac:dyDescent="0.25">
      <c r="A385" s="3" t="s">
        <v>961</v>
      </c>
      <c r="B385" s="3" t="s">
        <v>960</v>
      </c>
      <c r="C385" s="3" t="s">
        <v>791</v>
      </c>
      <c r="D385" s="3" t="s">
        <v>955</v>
      </c>
      <c r="E385" s="3" t="s">
        <v>955</v>
      </c>
    </row>
    <row r="386" spans="1:5" ht="12.75" customHeight="1" x14ac:dyDescent="0.25">
      <c r="A386" s="3" t="s">
        <v>995</v>
      </c>
      <c r="B386" s="3" t="s">
        <v>994</v>
      </c>
      <c r="C386" s="3" t="s">
        <v>969</v>
      </c>
      <c r="D386" s="3" t="s">
        <v>969</v>
      </c>
      <c r="E386" s="3" t="s">
        <v>969</v>
      </c>
    </row>
    <row r="387" spans="1:5" ht="12.75" customHeight="1" x14ac:dyDescent="0.25">
      <c r="A387" s="3" t="s">
        <v>637</v>
      </c>
      <c r="B387" s="3" t="s">
        <v>636</v>
      </c>
      <c r="C387" s="3" t="s">
        <v>624</v>
      </c>
      <c r="D387" s="3" t="s">
        <v>628</v>
      </c>
      <c r="E387" s="3" t="s">
        <v>628</v>
      </c>
    </row>
    <row r="388" spans="1:5" ht="12.75" customHeight="1" x14ac:dyDescent="0.25">
      <c r="A388" s="3" t="s">
        <v>307</v>
      </c>
      <c r="B388" s="3" t="s">
        <v>306</v>
      </c>
      <c r="C388" s="3" t="s">
        <v>165</v>
      </c>
      <c r="D388" s="3" t="s">
        <v>238</v>
      </c>
      <c r="E388" s="3" t="s">
        <v>297</v>
      </c>
    </row>
    <row r="389" spans="1:5" ht="12.75" customHeight="1" x14ac:dyDescent="0.25">
      <c r="A389" s="3" t="s">
        <v>762</v>
      </c>
      <c r="B389" s="3" t="s">
        <v>761</v>
      </c>
      <c r="C389" s="3" t="s">
        <v>657</v>
      </c>
      <c r="D389" s="3" t="s">
        <v>658</v>
      </c>
      <c r="E389" s="3" t="s">
        <v>658</v>
      </c>
    </row>
    <row r="390" spans="1:5" ht="12.75" customHeight="1" x14ac:dyDescent="0.25">
      <c r="A390" s="3" t="s">
        <v>760</v>
      </c>
      <c r="B390" s="3" t="s">
        <v>759</v>
      </c>
      <c r="C390" s="3" t="s">
        <v>657</v>
      </c>
      <c r="D390" s="3" t="s">
        <v>658</v>
      </c>
      <c r="E390" s="3" t="s">
        <v>658</v>
      </c>
    </row>
    <row r="391" spans="1:5" ht="12.75" customHeight="1" x14ac:dyDescent="0.25">
      <c r="A391" s="3" t="s">
        <v>233</v>
      </c>
      <c r="B391" s="3" t="s">
        <v>232</v>
      </c>
      <c r="C391" s="3" t="s">
        <v>165</v>
      </c>
      <c r="D391" s="3" t="s">
        <v>205</v>
      </c>
      <c r="E391" s="3" t="s">
        <v>229</v>
      </c>
    </row>
    <row r="392" spans="1:5" ht="12.75" customHeight="1" x14ac:dyDescent="0.25">
      <c r="A392" s="3" t="s">
        <v>154</v>
      </c>
      <c r="B392" s="3" t="s">
        <v>153</v>
      </c>
      <c r="C392" s="3" t="s">
        <v>84</v>
      </c>
      <c r="D392" s="3" t="s">
        <v>140</v>
      </c>
      <c r="E392" s="3" t="s">
        <v>146</v>
      </c>
    </row>
    <row r="393" spans="1:5" ht="12.75" customHeight="1" x14ac:dyDescent="0.25">
      <c r="A393" s="3" t="s">
        <v>915</v>
      </c>
      <c r="B393" s="3" t="s">
        <v>914</v>
      </c>
      <c r="C393" s="3" t="s">
        <v>791</v>
      </c>
      <c r="D393" s="3" t="s">
        <v>902</v>
      </c>
      <c r="E393" s="3" t="s">
        <v>903</v>
      </c>
    </row>
    <row r="394" spans="1:5" ht="12.75" customHeight="1" x14ac:dyDescent="0.25">
      <c r="A394" s="3" t="s">
        <v>158</v>
      </c>
      <c r="B394" s="3" t="s">
        <v>157</v>
      </c>
      <c r="C394" s="3" t="s">
        <v>84</v>
      </c>
      <c r="D394" s="3" t="s">
        <v>140</v>
      </c>
      <c r="E394" s="3" t="s">
        <v>146</v>
      </c>
    </row>
    <row r="395" spans="1:5" ht="12.75" customHeight="1" x14ac:dyDescent="0.25">
      <c r="A395" s="3" t="s">
        <v>764</v>
      </c>
      <c r="B395" s="3" t="s">
        <v>763</v>
      </c>
      <c r="C395" s="3" t="s">
        <v>657</v>
      </c>
      <c r="D395" s="3" t="s">
        <v>658</v>
      </c>
      <c r="E395" s="3" t="s">
        <v>658</v>
      </c>
    </row>
    <row r="396" spans="1:5" ht="12.75" customHeight="1" x14ac:dyDescent="0.25">
      <c r="A396" s="3" t="s">
        <v>237</v>
      </c>
      <c r="B396" s="3" t="s">
        <v>236</v>
      </c>
      <c r="C396" s="3" t="s">
        <v>165</v>
      </c>
      <c r="D396" s="3" t="s">
        <v>205</v>
      </c>
      <c r="E396" s="3" t="s">
        <v>235</v>
      </c>
    </row>
    <row r="397" spans="1:5" ht="12.75" customHeight="1" x14ac:dyDescent="0.25">
      <c r="A397" s="3" t="s">
        <v>181</v>
      </c>
      <c r="B397" s="3" t="s">
        <v>180</v>
      </c>
      <c r="C397" s="3" t="s">
        <v>165</v>
      </c>
      <c r="D397" s="3" t="s">
        <v>166</v>
      </c>
      <c r="E397" s="3" t="s">
        <v>177</v>
      </c>
    </row>
    <row r="398" spans="1:5" ht="12.75" customHeight="1" x14ac:dyDescent="0.25">
      <c r="A398" s="3" t="s">
        <v>434</v>
      </c>
      <c r="B398" s="3" t="s">
        <v>433</v>
      </c>
      <c r="C398" s="3" t="s">
        <v>396</v>
      </c>
      <c r="D398" s="3" t="s">
        <v>397</v>
      </c>
      <c r="E398" s="3" t="s">
        <v>398</v>
      </c>
    </row>
    <row r="399" spans="1:5" ht="12.75" customHeight="1" x14ac:dyDescent="0.25">
      <c r="A399" s="3" t="s">
        <v>481</v>
      </c>
      <c r="B399" s="3" t="s">
        <v>480</v>
      </c>
      <c r="C399" s="3" t="s">
        <v>396</v>
      </c>
      <c r="D399" s="3" t="s">
        <v>441</v>
      </c>
      <c r="E399" s="3" t="s">
        <v>477</v>
      </c>
    </row>
    <row r="400" spans="1:5" ht="12.75" customHeight="1" x14ac:dyDescent="0.25">
      <c r="A400" s="3" t="s">
        <v>462</v>
      </c>
      <c r="B400" s="3" t="s">
        <v>461</v>
      </c>
      <c r="C400" s="3" t="s">
        <v>396</v>
      </c>
      <c r="D400" s="3" t="s">
        <v>441</v>
      </c>
      <c r="E400" s="3" t="s">
        <v>442</v>
      </c>
    </row>
    <row r="401" spans="1:5" ht="12.75" customHeight="1" x14ac:dyDescent="0.25">
      <c r="A401" s="3" t="s">
        <v>648</v>
      </c>
      <c r="B401" s="3" t="s">
        <v>647</v>
      </c>
      <c r="C401" s="3" t="s">
        <v>640</v>
      </c>
      <c r="D401" s="3" t="s">
        <v>641</v>
      </c>
      <c r="E401" s="3" t="s">
        <v>641</v>
      </c>
    </row>
    <row r="402" spans="1:5" ht="12.75" customHeight="1" x14ac:dyDescent="0.25">
      <c r="A402" s="3" t="s">
        <v>436</v>
      </c>
      <c r="B402" s="3" t="s">
        <v>435</v>
      </c>
      <c r="C402" s="3" t="s">
        <v>396</v>
      </c>
      <c r="D402" s="3" t="s">
        <v>397</v>
      </c>
      <c r="E402" s="3" t="s">
        <v>398</v>
      </c>
    </row>
    <row r="403" spans="1:5" ht="12.75" customHeight="1" x14ac:dyDescent="0.25">
      <c r="A403" s="3" t="s">
        <v>768</v>
      </c>
      <c r="B403" s="3" t="s">
        <v>767</v>
      </c>
      <c r="C403" s="3" t="s">
        <v>657</v>
      </c>
      <c r="D403" s="3" t="s">
        <v>658</v>
      </c>
      <c r="E403" s="3" t="s">
        <v>658</v>
      </c>
    </row>
    <row r="404" spans="1:5" ht="12.75" customHeight="1" x14ac:dyDescent="0.25">
      <c r="A404" s="3" t="s">
        <v>346</v>
      </c>
      <c r="B404" s="3" t="s">
        <v>345</v>
      </c>
      <c r="C404" s="3" t="s">
        <v>334</v>
      </c>
      <c r="D404" s="3" t="s">
        <v>335</v>
      </c>
      <c r="E404" s="3" t="s">
        <v>336</v>
      </c>
    </row>
    <row r="405" spans="1:5" ht="12.75" customHeight="1" x14ac:dyDescent="0.25">
      <c r="A405" s="3" t="s">
        <v>265</v>
      </c>
      <c r="B405" s="3" t="s">
        <v>264</v>
      </c>
      <c r="C405" s="3" t="s">
        <v>165</v>
      </c>
      <c r="D405" s="3" t="s">
        <v>238</v>
      </c>
      <c r="E405" s="3" t="s">
        <v>261</v>
      </c>
    </row>
    <row r="406" spans="1:5" ht="12.75" customHeight="1" x14ac:dyDescent="0.25">
      <c r="A406" s="3" t="s">
        <v>662</v>
      </c>
      <c r="B406" s="3" t="s">
        <v>661</v>
      </c>
      <c r="C406" s="3" t="s">
        <v>657</v>
      </c>
      <c r="D406" s="3" t="s">
        <v>658</v>
      </c>
      <c r="E406" s="3" t="s">
        <v>658</v>
      </c>
    </row>
    <row r="407" spans="1:5" x14ac:dyDescent="0.25">
      <c r="A407" s="3" t="s">
        <v>652</v>
      </c>
      <c r="B407" s="3" t="s">
        <v>651</v>
      </c>
      <c r="C407" s="3" t="s">
        <v>640</v>
      </c>
      <c r="D407" s="3" t="s">
        <v>641</v>
      </c>
      <c r="E407" s="3" t="s">
        <v>641</v>
      </c>
    </row>
    <row r="408" spans="1:5" x14ac:dyDescent="0.25">
      <c r="A408" s="3" t="s">
        <v>117</v>
      </c>
      <c r="B408" s="3" t="s">
        <v>116</v>
      </c>
      <c r="C408" s="3" t="s">
        <v>84</v>
      </c>
      <c r="D408" s="3" t="s">
        <v>99</v>
      </c>
      <c r="E408" s="3" t="s">
        <v>111</v>
      </c>
    </row>
    <row r="409" spans="1:5" ht="12.75" customHeight="1" x14ac:dyDescent="0.25">
      <c r="A409" s="3" t="s">
        <v>766</v>
      </c>
      <c r="B409" s="3" t="s">
        <v>765</v>
      </c>
      <c r="C409" s="3" t="s">
        <v>657</v>
      </c>
      <c r="D409" s="3" t="s">
        <v>658</v>
      </c>
      <c r="E409" s="3" t="s">
        <v>658</v>
      </c>
    </row>
    <row r="410" spans="1:5" ht="12.75" customHeight="1" x14ac:dyDescent="0.25">
      <c r="A410" s="3" t="s">
        <v>639</v>
      </c>
      <c r="B410" s="3" t="s">
        <v>638</v>
      </c>
      <c r="C410" s="3" t="s">
        <v>624</v>
      </c>
      <c r="D410" s="3" t="s">
        <v>628</v>
      </c>
      <c r="E410" s="3" t="s">
        <v>628</v>
      </c>
    </row>
    <row r="411" spans="1:5" ht="12.75" customHeight="1" x14ac:dyDescent="0.25">
      <c r="A411" s="3" t="s">
        <v>294</v>
      </c>
      <c r="B411" s="3" t="s">
        <v>293</v>
      </c>
      <c r="C411" s="3" t="s">
        <v>165</v>
      </c>
      <c r="D411" s="3" t="s">
        <v>238</v>
      </c>
      <c r="E411" s="3" t="s">
        <v>266</v>
      </c>
    </row>
    <row r="412" spans="1:5" ht="12.75" customHeight="1" x14ac:dyDescent="0.25">
      <c r="A412" s="3" t="s">
        <v>292</v>
      </c>
      <c r="B412" s="3" t="s">
        <v>291</v>
      </c>
      <c r="C412" s="3" t="s">
        <v>165</v>
      </c>
      <c r="D412" s="3" t="s">
        <v>238</v>
      </c>
      <c r="E412" s="3" t="s">
        <v>266</v>
      </c>
    </row>
    <row r="413" spans="1:5" s="4" customFormat="1" ht="12.75" customHeight="1" x14ac:dyDescent="0.25">
      <c r="A413" s="3" t="s">
        <v>438</v>
      </c>
      <c r="B413" s="3" t="s">
        <v>437</v>
      </c>
      <c r="C413" s="3" t="s">
        <v>396</v>
      </c>
      <c r="D413" s="3" t="s">
        <v>397</v>
      </c>
      <c r="E413" s="3" t="s">
        <v>398</v>
      </c>
    </row>
    <row r="414" spans="1:5" s="4" customFormat="1" ht="12.75" customHeight="1" x14ac:dyDescent="0.25">
      <c r="A414" s="3" t="s">
        <v>770</v>
      </c>
      <c r="B414" s="3" t="s">
        <v>769</v>
      </c>
      <c r="C414" s="3" t="s">
        <v>657</v>
      </c>
      <c r="D414" s="3" t="s">
        <v>658</v>
      </c>
      <c r="E414" s="3" t="s">
        <v>658</v>
      </c>
    </row>
    <row r="415" spans="1:5" s="4" customFormat="1" ht="12.75" customHeight="1" x14ac:dyDescent="0.25">
      <c r="A415" s="3" t="s">
        <v>202</v>
      </c>
      <c r="B415" s="3" t="s">
        <v>201</v>
      </c>
      <c r="C415" s="3" t="s">
        <v>165</v>
      </c>
      <c r="D415" s="3" t="s">
        <v>185</v>
      </c>
      <c r="E415" s="3" t="s">
        <v>189</v>
      </c>
    </row>
    <row r="416" spans="1:5" s="4" customFormat="1" ht="12.75" customHeight="1" x14ac:dyDescent="0.25">
      <c r="A416" s="3" t="s">
        <v>464</v>
      </c>
      <c r="B416" s="3" t="s">
        <v>463</v>
      </c>
      <c r="C416" s="3" t="s">
        <v>396</v>
      </c>
      <c r="D416" s="3" t="s">
        <v>441</v>
      </c>
      <c r="E416" s="3" t="s">
        <v>442</v>
      </c>
    </row>
    <row r="417" spans="1:5" s="4" customFormat="1" ht="12.75" customHeight="1" x14ac:dyDescent="0.25">
      <c r="A417" s="3" t="s">
        <v>490</v>
      </c>
      <c r="B417" s="3" t="s">
        <v>489</v>
      </c>
      <c r="C417" s="3" t="s">
        <v>396</v>
      </c>
      <c r="D417" s="3" t="s">
        <v>484</v>
      </c>
      <c r="E417" s="3" t="s">
        <v>488</v>
      </c>
    </row>
    <row r="418" spans="1:5" s="4" customFormat="1" ht="12.75" customHeight="1" x14ac:dyDescent="0.25">
      <c r="A418" s="3" t="s">
        <v>78</v>
      </c>
      <c r="B418" s="3" t="s">
        <v>77</v>
      </c>
      <c r="C418" s="3" t="s">
        <v>59</v>
      </c>
      <c r="D418" s="3" t="s">
        <v>59</v>
      </c>
      <c r="E418" s="3" t="s">
        <v>60</v>
      </c>
    </row>
    <row r="419" spans="1:5" s="4" customFormat="1" ht="12.75" customHeight="1" x14ac:dyDescent="0.25">
      <c r="A419" s="3" t="s">
        <v>550</v>
      </c>
      <c r="B419" s="3" t="s">
        <v>549</v>
      </c>
      <c r="C419" s="3" t="s">
        <v>396</v>
      </c>
      <c r="D419" s="3" t="s">
        <v>528</v>
      </c>
      <c r="E419" s="3" t="s">
        <v>540</v>
      </c>
    </row>
    <row r="420" spans="1:5" s="4" customFormat="1" ht="12.75" customHeight="1" x14ac:dyDescent="0.25">
      <c r="A420" s="3" t="s">
        <v>139</v>
      </c>
      <c r="B420" s="3" t="s">
        <v>138</v>
      </c>
      <c r="C420" s="3" t="s">
        <v>84</v>
      </c>
      <c r="D420" s="3" t="s">
        <v>121</v>
      </c>
      <c r="E420" s="3" t="s">
        <v>135</v>
      </c>
    </row>
    <row r="421" spans="1:5" ht="12.75" customHeight="1" x14ac:dyDescent="0.25">
      <c r="A421" s="3" t="s">
        <v>772</v>
      </c>
      <c r="B421" s="3" t="s">
        <v>771</v>
      </c>
      <c r="C421" s="3" t="s">
        <v>657</v>
      </c>
      <c r="D421" s="3" t="s">
        <v>658</v>
      </c>
      <c r="E421" s="3" t="s">
        <v>658</v>
      </c>
    </row>
    <row r="422" spans="1:5" ht="12.75" customHeight="1" x14ac:dyDescent="0.25">
      <c r="A422" s="3" t="s">
        <v>110</v>
      </c>
      <c r="B422" s="3" t="s">
        <v>109</v>
      </c>
      <c r="C422" s="3" t="s">
        <v>84</v>
      </c>
      <c r="D422" s="3" t="s">
        <v>99</v>
      </c>
      <c r="E422" s="3" t="s">
        <v>100</v>
      </c>
    </row>
    <row r="423" spans="1:5" ht="12.75" customHeight="1" x14ac:dyDescent="0.25">
      <c r="A423" s="3" t="s">
        <v>98</v>
      </c>
      <c r="B423" s="3" t="s">
        <v>97</v>
      </c>
      <c r="C423" s="3" t="s">
        <v>84</v>
      </c>
      <c r="D423" s="3" t="s">
        <v>85</v>
      </c>
      <c r="E423" s="3" t="s">
        <v>86</v>
      </c>
    </row>
    <row r="424" spans="1:5" ht="12.75" customHeight="1" x14ac:dyDescent="0.25">
      <c r="A424" s="3" t="s">
        <v>884</v>
      </c>
      <c r="B424" s="3" t="s">
        <v>883</v>
      </c>
      <c r="C424" s="3" t="s">
        <v>791</v>
      </c>
      <c r="D424" s="3" t="s">
        <v>856</v>
      </c>
      <c r="E424" s="3" t="s">
        <v>856</v>
      </c>
    </row>
    <row r="425" spans="1:5" ht="12.75" customHeight="1" x14ac:dyDescent="0.25">
      <c r="A425" s="3" t="s">
        <v>483</v>
      </c>
      <c r="B425" s="3" t="s">
        <v>482</v>
      </c>
      <c r="C425" s="3" t="s">
        <v>396</v>
      </c>
      <c r="D425" s="3" t="s">
        <v>441</v>
      </c>
      <c r="E425" s="3" t="s">
        <v>477</v>
      </c>
    </row>
    <row r="426" spans="1:5" ht="12.75" customHeight="1" x14ac:dyDescent="0.25">
      <c r="A426" s="3" t="s">
        <v>440</v>
      </c>
      <c r="B426" s="3" t="s">
        <v>439</v>
      </c>
      <c r="C426" s="3" t="s">
        <v>396</v>
      </c>
      <c r="D426" s="3" t="s">
        <v>397</v>
      </c>
      <c r="E426" s="3" t="s">
        <v>398</v>
      </c>
    </row>
    <row r="427" spans="1:5" ht="12.75" customHeight="1" x14ac:dyDescent="0.25">
      <c r="A427" s="3" t="s">
        <v>650</v>
      </c>
      <c r="B427" s="3" t="s">
        <v>649</v>
      </c>
      <c r="C427" s="3" t="s">
        <v>640</v>
      </c>
      <c r="D427" s="3" t="s">
        <v>641</v>
      </c>
      <c r="E427" s="3" t="s">
        <v>641</v>
      </c>
    </row>
    <row r="428" spans="1:5" ht="12.75" customHeight="1" x14ac:dyDescent="0.25">
      <c r="A428" s="3" t="s">
        <v>326</v>
      </c>
      <c r="B428" s="3" t="s">
        <v>325</v>
      </c>
      <c r="C428" s="3" t="s">
        <v>165</v>
      </c>
      <c r="D428" s="3" t="s">
        <v>182</v>
      </c>
      <c r="E428" s="3" t="s">
        <v>182</v>
      </c>
    </row>
    <row r="429" spans="1:5" ht="12.75" customHeight="1" x14ac:dyDescent="0.25">
      <c r="A429" s="3" t="s">
        <v>296</v>
      </c>
      <c r="B429" s="3" t="s">
        <v>295</v>
      </c>
      <c r="C429" s="3" t="s">
        <v>165</v>
      </c>
      <c r="D429" s="3" t="s">
        <v>238</v>
      </c>
      <c r="E429" s="3" t="s">
        <v>266</v>
      </c>
    </row>
    <row r="430" spans="1:5" ht="12.75" customHeight="1" x14ac:dyDescent="0.25">
      <c r="A430" s="3" t="s">
        <v>251</v>
      </c>
      <c r="B430" s="3" t="s">
        <v>250</v>
      </c>
      <c r="C430" s="3" t="s">
        <v>165</v>
      </c>
      <c r="D430" s="3" t="s">
        <v>238</v>
      </c>
      <c r="E430" s="3" t="s">
        <v>243</v>
      </c>
    </row>
    <row r="431" spans="1:5" ht="12.75" customHeight="1" x14ac:dyDescent="0.25">
      <c r="A431" s="3" t="s">
        <v>476</v>
      </c>
      <c r="B431" s="3" t="s">
        <v>475</v>
      </c>
      <c r="C431" s="3" t="s">
        <v>396</v>
      </c>
      <c r="D431" s="3" t="s">
        <v>441</v>
      </c>
      <c r="E431" s="3" t="s">
        <v>468</v>
      </c>
    </row>
    <row r="432" spans="1:5" ht="12.75" customHeight="1" x14ac:dyDescent="0.25">
      <c r="A432" s="3" t="s">
        <v>571</v>
      </c>
      <c r="B432" s="3" t="s">
        <v>570</v>
      </c>
      <c r="C432" s="3" t="s">
        <v>396</v>
      </c>
      <c r="D432" s="3" t="s">
        <v>327</v>
      </c>
      <c r="E432" s="3" t="s">
        <v>485</v>
      </c>
    </row>
    <row r="433" spans="1:5" ht="12.75" customHeight="1" x14ac:dyDescent="0.25">
      <c r="A433" s="3" t="s">
        <v>210</v>
      </c>
      <c r="B433" s="3" t="s">
        <v>209</v>
      </c>
      <c r="C433" s="3" t="s">
        <v>165</v>
      </c>
      <c r="D433" s="3" t="s">
        <v>205</v>
      </c>
      <c r="E433" s="3" t="s">
        <v>206</v>
      </c>
    </row>
    <row r="434" spans="1:5" ht="12.75" customHeight="1" x14ac:dyDescent="0.25">
      <c r="A434" s="3" t="s">
        <v>487</v>
      </c>
      <c r="B434" s="3" t="s">
        <v>486</v>
      </c>
      <c r="C434" s="3" t="s">
        <v>396</v>
      </c>
      <c r="D434" s="3" t="s">
        <v>484</v>
      </c>
      <c r="E434" s="3" t="s">
        <v>485</v>
      </c>
    </row>
    <row r="435" spans="1:5" ht="12.75" customHeight="1" x14ac:dyDescent="0.25">
      <c r="A435" s="3" t="s">
        <v>920</v>
      </c>
      <c r="B435" s="3" t="s">
        <v>919</v>
      </c>
      <c r="C435" s="3" t="s">
        <v>791</v>
      </c>
      <c r="D435" s="3" t="s">
        <v>902</v>
      </c>
      <c r="E435" s="3" t="s">
        <v>916</v>
      </c>
    </row>
    <row r="436" spans="1:5" ht="12.75" customHeight="1" x14ac:dyDescent="0.25">
      <c r="A436" s="3" t="s">
        <v>333</v>
      </c>
      <c r="B436" s="3" t="s">
        <v>332</v>
      </c>
      <c r="C436" s="3" t="s">
        <v>165</v>
      </c>
      <c r="D436" s="3" t="s">
        <v>327</v>
      </c>
      <c r="E436" s="3" t="s">
        <v>185</v>
      </c>
    </row>
    <row r="437" spans="1:5" ht="12.75" customHeight="1" x14ac:dyDescent="0.25">
      <c r="A437" s="3" t="s">
        <v>309</v>
      </c>
      <c r="B437" s="3" t="s">
        <v>308</v>
      </c>
      <c r="C437" s="3" t="s">
        <v>165</v>
      </c>
      <c r="D437" s="3" t="s">
        <v>238</v>
      </c>
      <c r="E437" s="3" t="s">
        <v>297</v>
      </c>
    </row>
    <row r="438" spans="1:5" ht="12.75" customHeight="1" x14ac:dyDescent="0.25">
      <c r="A438" s="3" t="s">
        <v>886</v>
      </c>
      <c r="B438" s="3" t="s">
        <v>885</v>
      </c>
      <c r="C438" s="3" t="s">
        <v>791</v>
      </c>
      <c r="D438" s="3" t="s">
        <v>856</v>
      </c>
      <c r="E438" s="3" t="s">
        <v>856</v>
      </c>
    </row>
    <row r="439" spans="1:5" s="4" customFormat="1" ht="12.75" customHeight="1" x14ac:dyDescent="0.25">
      <c r="A439" s="3" t="s">
        <v>864</v>
      </c>
      <c r="B439" s="3" t="s">
        <v>863</v>
      </c>
      <c r="C439" s="3" t="s">
        <v>791</v>
      </c>
      <c r="D439" s="3" t="s">
        <v>856</v>
      </c>
      <c r="E439" s="3" t="s">
        <v>856</v>
      </c>
    </row>
    <row r="440" spans="1:5" s="4" customFormat="1" ht="12.75" customHeight="1" x14ac:dyDescent="0.25">
      <c r="A440" s="3" t="s">
        <v>539</v>
      </c>
      <c r="B440" s="3" t="s">
        <v>538</v>
      </c>
      <c r="C440" s="3" t="s">
        <v>396</v>
      </c>
      <c r="D440" s="3" t="s">
        <v>528</v>
      </c>
      <c r="E440" s="3" t="s">
        <v>529</v>
      </c>
    </row>
    <row r="441" spans="1:5" s="4" customFormat="1" ht="12.9" customHeight="1" x14ac:dyDescent="0.2"/>
    <row r="442" spans="1:5" s="4" customFormat="1" ht="12.9" customHeight="1" x14ac:dyDescent="0.2"/>
    <row r="443" spans="1:5" s="4" customFormat="1" ht="12.9" customHeight="1" x14ac:dyDescent="0.2"/>
    <row r="444" spans="1:5" s="4" customFormat="1" ht="12.9" customHeight="1" x14ac:dyDescent="0.2"/>
    <row r="445" spans="1:5" s="4" customFormat="1" ht="12.9" customHeight="1" x14ac:dyDescent="0.2"/>
    <row r="446" spans="1:5" s="4" customFormat="1" ht="12.9" customHeight="1" x14ac:dyDescent="0.2"/>
    <row r="447" spans="1:5" s="4" customFormat="1" ht="12.9" customHeight="1" x14ac:dyDescent="0.2"/>
    <row r="448" spans="1:5" s="4" customFormat="1" ht="12.9" customHeight="1" x14ac:dyDescent="0.2"/>
    <row r="449" spans="3:3" s="4" customFormat="1" ht="12.9" customHeight="1" x14ac:dyDescent="0.2"/>
    <row r="450" spans="3:3" s="4" customFormat="1" ht="12.9" customHeight="1" x14ac:dyDescent="0.2"/>
    <row r="451" spans="3:3" s="4" customFormat="1" ht="12.9" customHeight="1" x14ac:dyDescent="0.2"/>
    <row r="452" spans="3:3" s="4" customFormat="1" ht="12.9" customHeight="1" x14ac:dyDescent="0.2"/>
    <row r="453" spans="3:3" s="4" customFormat="1" ht="12.9" customHeight="1" x14ac:dyDescent="0.2"/>
    <row r="454" spans="3:3" s="4" customFormat="1" ht="12.9" customHeight="1" x14ac:dyDescent="0.2"/>
    <row r="455" spans="3:3" x14ac:dyDescent="0.25">
      <c r="C455" s="4"/>
    </row>
    <row r="456" spans="3:3" x14ac:dyDescent="0.25">
      <c r="C456" s="4"/>
    </row>
    <row r="457" spans="3:3" x14ac:dyDescent="0.25">
      <c r="C457" s="4"/>
    </row>
  </sheetData>
  <autoFilter ref="A1:E468" xr:uid="{158468C9-95B0-43B7-AA3A-D6A8E51B3933}">
    <sortState xmlns:xlrd2="http://schemas.microsoft.com/office/spreadsheetml/2017/richdata2" ref="A2:E468">
      <sortCondition ref="A1:A468"/>
    </sortState>
  </autoFilter>
  <printOptions horizontalCentered="1"/>
  <pageMargins left="0.19685039370078741" right="0.19685039370078741" top="0.19685039370078741" bottom="0.19685039370078741" header="0.11811023622047245" footer="0.11811023622047245"/>
  <pageSetup paperSize="9" scale="63" orientation="portrait" r:id="rId1"/>
  <headerFooter>
    <oddFooter>&amp;LClassificação Setorial - 19/05/2020&amp;R&amp;P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1FCF-C9CB-4C62-87F1-4613932582A4}">
  <dimension ref="A1:J80"/>
  <sheetViews>
    <sheetView showGridLines="0" topLeftCell="B1" workbookViewId="0">
      <selection activeCell="E14" sqref="E14"/>
    </sheetView>
  </sheetViews>
  <sheetFormatPr defaultRowHeight="15" customHeight="1" x14ac:dyDescent="0.3"/>
  <cols>
    <col min="1" max="1" width="10.109375" customWidth="1"/>
    <col min="2" max="2" width="11.33203125" customWidth="1"/>
    <col min="3" max="3" width="9.109375" style="71"/>
    <col min="4" max="4" width="14.5546875" style="70" bestFit="1" customWidth="1"/>
    <col min="5" max="5" width="27.44140625" style="70" bestFit="1" customWidth="1"/>
    <col min="6" max="6" width="28.77734375" style="70" bestFit="1" customWidth="1"/>
    <col min="7" max="7" width="11.33203125" style="70" customWidth="1"/>
    <col min="9" max="9" width="34.88671875" bestFit="1" customWidth="1"/>
    <col min="10" max="10" width="7" bestFit="1" customWidth="1"/>
  </cols>
  <sheetData>
    <row r="1" spans="1:10" ht="15" customHeight="1" x14ac:dyDescent="0.3">
      <c r="A1" s="73" t="s">
        <v>1026</v>
      </c>
      <c r="B1" s="73" t="s">
        <v>1051</v>
      </c>
      <c r="C1" s="73" t="s">
        <v>1052</v>
      </c>
      <c r="D1" s="73" t="s">
        <v>1050</v>
      </c>
      <c r="E1" s="73" t="s">
        <v>54</v>
      </c>
      <c r="F1" s="73" t="s">
        <v>55</v>
      </c>
      <c r="G1" s="73" t="s">
        <v>56</v>
      </c>
    </row>
    <row r="2" spans="1:10" ht="15" customHeight="1" x14ac:dyDescent="0.3">
      <c r="A2" s="68">
        <v>43990</v>
      </c>
      <c r="B2" s="69" t="s">
        <v>45</v>
      </c>
      <c r="C2" s="72">
        <v>0.10224850000000001</v>
      </c>
      <c r="D2" s="69" t="str">
        <f>VLOOKUP(LEFT(B2,4),Tabela_Auxiliar!$A:$E,2,FALSE)</f>
        <v xml:space="preserve">VALE        </v>
      </c>
      <c r="E2" s="69" t="str">
        <f>VLOOKUP(LEFT(B2,4),Tabela_Auxiliar!$A:$E,3,FALSE)</f>
        <v>Materiais Básicos</v>
      </c>
      <c r="F2" s="69" t="str">
        <f>VLOOKUP(LEFT(B2,4),Tabela_Auxiliar!$A:$E,4,FALSE)</f>
        <v>Mineração</v>
      </c>
      <c r="G2" s="69" t="str">
        <f>VLOOKUP(LEFT(B2,4),Tabela_Auxiliar!$A:$E,5,FALSE)</f>
        <v>Minerais Metálicos</v>
      </c>
    </row>
    <row r="3" spans="1:10" ht="15" customHeight="1" x14ac:dyDescent="0.3">
      <c r="A3" s="68">
        <v>43990</v>
      </c>
      <c r="B3" s="69" t="s">
        <v>30</v>
      </c>
      <c r="C3" s="72">
        <v>7.6195009999999994E-2</v>
      </c>
      <c r="D3" s="69" t="str">
        <f>VLOOKUP(LEFT(B3,4),Tabela_Auxiliar!$A:$E,2,FALSE)</f>
        <v>ITAUUNIBANCO</v>
      </c>
      <c r="E3" s="69" t="str">
        <f>VLOOKUP(LEFT(B3,4),Tabela_Auxiliar!$A:$E,3,FALSE)</f>
        <v>Financeiro</v>
      </c>
      <c r="F3" s="69" t="str">
        <f>VLOOKUP(LEFT(B3,4),Tabela_Auxiliar!$A:$E,5,FALSE)</f>
        <v>Bancos</v>
      </c>
      <c r="G3" s="69" t="str">
        <f>VLOOKUP(LEFT(B3,4),Tabela_Auxiliar!$A:$E,5,FALSE)</f>
        <v>Bancos</v>
      </c>
      <c r="I3" s="74" t="s">
        <v>49</v>
      </c>
      <c r="J3" t="s">
        <v>1054</v>
      </c>
    </row>
    <row r="4" spans="1:10" ht="15" customHeight="1" x14ac:dyDescent="0.3">
      <c r="A4" s="68">
        <v>43990</v>
      </c>
      <c r="B4" s="69" t="s">
        <v>2</v>
      </c>
      <c r="C4" s="72">
        <v>5.9998780000000002E-2</v>
      </c>
      <c r="D4" s="69" t="str">
        <f>VLOOKUP(LEFT(B4,4),Tabela_Auxiliar!$A:$E,2,FALSE)</f>
        <v xml:space="preserve">B3 </v>
      </c>
      <c r="E4" s="69" t="str">
        <f>VLOOKUP(LEFT(B4,4),Tabela_Auxiliar!$A:$E,3,FALSE)</f>
        <v>Financeiro</v>
      </c>
      <c r="F4" s="69" t="str">
        <f>VLOOKUP(LEFT(B4,4),Tabela_Auxiliar!$A:$E,5,FALSE)</f>
        <v>Serviços Financeiros Diversos</v>
      </c>
      <c r="G4" s="69" t="str">
        <f>VLOOKUP(LEFT(B4,4),Tabela_Auxiliar!$A:$E,5,FALSE)</f>
        <v>Serviços Financeiros Diversos</v>
      </c>
      <c r="I4" s="75" t="s">
        <v>791</v>
      </c>
      <c r="J4" s="76">
        <v>0.31608523999999999</v>
      </c>
    </row>
    <row r="5" spans="1:10" ht="15" customHeight="1" x14ac:dyDescent="0.3">
      <c r="A5" s="68">
        <v>43990</v>
      </c>
      <c r="B5" s="69" t="s">
        <v>37</v>
      </c>
      <c r="C5" s="72">
        <v>5.774191E-2</v>
      </c>
      <c r="D5" s="69" t="str">
        <f>VLOOKUP(LEFT(B5,4),Tabela_Auxiliar!$A:$E,2,FALSE)</f>
        <v xml:space="preserve">PETROBRAS   </v>
      </c>
      <c r="E5" s="69" t="str">
        <f>VLOOKUP(LEFT(B5,4),Tabela_Auxiliar!$A:$E,3,FALSE)</f>
        <v>Petróleo, Gás e Biocombustíveis</v>
      </c>
      <c r="F5" s="69" t="str">
        <f>VLOOKUP(LEFT(B5,4),Tabela_Auxiliar!$A:$E,5,FALSE)</f>
        <v>Exploração, Refino e Distribuição</v>
      </c>
      <c r="G5" s="69" t="str">
        <f>VLOOKUP(LEFT(B5,4),Tabela_Auxiliar!$A:$E,5,FALSE)</f>
        <v>Exploração, Refino e Distribuição</v>
      </c>
      <c r="I5" s="77" t="s">
        <v>793</v>
      </c>
      <c r="J5" s="76">
        <v>0.21806567999999998</v>
      </c>
    </row>
    <row r="6" spans="1:10" ht="15" customHeight="1" x14ac:dyDescent="0.3">
      <c r="A6" s="68">
        <v>43990</v>
      </c>
      <c r="B6" s="69" t="s">
        <v>4</v>
      </c>
      <c r="C6" s="72">
        <v>5.6710629999999998E-2</v>
      </c>
      <c r="D6" s="69" t="str">
        <f>VLOOKUP(LEFT(B6,4),Tabela_Auxiliar!$A:$E,2,FALSE)</f>
        <v xml:space="preserve">BRADESCO    </v>
      </c>
      <c r="E6" s="69" t="str">
        <f>VLOOKUP(LEFT(B6,4),Tabela_Auxiliar!$A:$E,3,FALSE)</f>
        <v>Financeiro</v>
      </c>
      <c r="F6" s="69" t="str">
        <f>VLOOKUP(LEFT(B6,4),Tabela_Auxiliar!$A:$E,5,FALSE)</f>
        <v>Bancos</v>
      </c>
      <c r="G6" s="69" t="str">
        <f>VLOOKUP(LEFT(B6,4),Tabela_Auxiliar!$A:$E,5,FALSE)</f>
        <v>Bancos</v>
      </c>
      <c r="I6" s="78" t="s">
        <v>793</v>
      </c>
      <c r="J6" s="76">
        <v>0.21806567999999998</v>
      </c>
    </row>
    <row r="7" spans="1:10" ht="15" customHeight="1" x14ac:dyDescent="0.3">
      <c r="A7" s="68">
        <v>43990</v>
      </c>
      <c r="B7" s="69" t="s">
        <v>1042</v>
      </c>
      <c r="C7" s="72">
        <v>3.9053640000000001E-2</v>
      </c>
      <c r="D7" s="69" t="str">
        <f>VLOOKUP(LEFT(B7,4),Tabela_Auxiliar!$A:$E,2,FALSE)</f>
        <v xml:space="preserve">PETROBRAS   </v>
      </c>
      <c r="E7" s="69" t="str">
        <f>VLOOKUP(LEFT(B7,4),Tabela_Auxiliar!$A:$E,3,FALSE)</f>
        <v>Petróleo, Gás e Biocombustíveis</v>
      </c>
      <c r="F7" s="69" t="str">
        <f>VLOOKUP(LEFT(B7,4),Tabela_Auxiliar!$A:$E,5,FALSE)</f>
        <v>Exploração, Refino e Distribuição</v>
      </c>
      <c r="G7" s="69" t="str">
        <f>VLOOKUP(LEFT(B7,4),Tabela_Auxiliar!$A:$E,5,FALSE)</f>
        <v>Exploração, Refino e Distribuição</v>
      </c>
      <c r="I7" s="77" t="s">
        <v>887</v>
      </c>
      <c r="J7" s="76">
        <v>6.2941060000000007E-2</v>
      </c>
    </row>
    <row r="8" spans="1:10" ht="15" customHeight="1" x14ac:dyDescent="0.3">
      <c r="A8" s="68">
        <v>43990</v>
      </c>
      <c r="B8" s="69" t="s">
        <v>1</v>
      </c>
      <c r="C8" s="72">
        <v>3.6044399999999997E-2</v>
      </c>
      <c r="D8" s="69" t="str">
        <f>VLOOKUP(LEFT(B8,4),Tabela_Auxiliar!$A:$E,2,FALSE)</f>
        <v>AMBEV S/A</v>
      </c>
      <c r="E8" s="69" t="str">
        <f>VLOOKUP(LEFT(B8,4),Tabela_Auxiliar!$A:$E,3,FALSE)</f>
        <v>Consumo não Cíclico</v>
      </c>
      <c r="F8" s="69" t="str">
        <f>VLOOKUP(LEFT(B8,4),Tabela_Auxiliar!$A:$E,5,FALSE)</f>
        <v>Cervejas e Refrigerantes</v>
      </c>
      <c r="G8" s="69" t="str">
        <f>VLOOKUP(LEFT(B8,4),Tabela_Auxiliar!$A:$E,5,FALSE)</f>
        <v>Cervejas e Refrigerantes</v>
      </c>
      <c r="I8" s="78" t="s">
        <v>887</v>
      </c>
      <c r="J8" s="76">
        <v>6.2941060000000007E-2</v>
      </c>
    </row>
    <row r="9" spans="1:10" ht="15" customHeight="1" x14ac:dyDescent="0.3">
      <c r="A9" s="68">
        <v>43990</v>
      </c>
      <c r="B9" s="69" t="s">
        <v>3</v>
      </c>
      <c r="C9" s="72">
        <v>2.9266779999999999E-2</v>
      </c>
      <c r="D9" s="69" t="str">
        <f>VLOOKUP(LEFT(B9,4),Tabela_Auxiliar!$A:$E,2,FALSE)</f>
        <v xml:space="preserve">BRASIL      </v>
      </c>
      <c r="E9" s="69" t="str">
        <f>VLOOKUP(LEFT(B9,4),Tabela_Auxiliar!$A:$E,3,FALSE)</f>
        <v>Financeiro</v>
      </c>
      <c r="F9" s="69" t="str">
        <f>VLOOKUP(LEFT(B9,4),Tabela_Auxiliar!$A:$E,5,FALSE)</f>
        <v>Bancos</v>
      </c>
      <c r="G9" s="69" t="str">
        <f>VLOOKUP(LEFT(B9,4),Tabela_Auxiliar!$A:$E,5,FALSE)</f>
        <v>Bancos</v>
      </c>
      <c r="I9" s="77" t="s">
        <v>903</v>
      </c>
      <c r="J9" s="76">
        <v>2.4283489999999998E-2</v>
      </c>
    </row>
    <row r="10" spans="1:10" ht="15" customHeight="1" x14ac:dyDescent="0.3">
      <c r="A10" s="68">
        <v>43990</v>
      </c>
      <c r="B10" s="69" t="s">
        <v>29</v>
      </c>
      <c r="C10" s="72">
        <v>2.649982E-2</v>
      </c>
      <c r="D10" s="69" t="str">
        <f>VLOOKUP(LEFT(B10,4),Tabela_Auxiliar!$A:$E,2,FALSE)</f>
        <v xml:space="preserve">ITAUSA      </v>
      </c>
      <c r="E10" s="69" t="str">
        <f>VLOOKUP(LEFT(B10,4),Tabela_Auxiliar!$A:$E,3,FALSE)</f>
        <v>Financeiro</v>
      </c>
      <c r="F10" s="69" t="str">
        <f>VLOOKUP(LEFT(B10,4),Tabela_Auxiliar!$A:$E,5,FALSE)</f>
        <v>Bancos</v>
      </c>
      <c r="G10" s="69" t="str">
        <f>VLOOKUP(LEFT(B10,4),Tabela_Auxiliar!$A:$E,5,FALSE)</f>
        <v>Bancos</v>
      </c>
      <c r="I10" s="78" t="s">
        <v>903</v>
      </c>
      <c r="J10" s="76">
        <v>2.4283489999999998E-2</v>
      </c>
    </row>
    <row r="11" spans="1:10" ht="15" customHeight="1" x14ac:dyDescent="0.3">
      <c r="A11" s="68">
        <v>43990</v>
      </c>
      <c r="B11" s="69" t="s">
        <v>1040</v>
      </c>
      <c r="C11" s="72">
        <v>2.3408209999999999E-2</v>
      </c>
      <c r="D11" s="69" t="str">
        <f>VLOOKUP(LEFT(B11,4),Tabela_Auxiliar!$A:$E,2,FALSE)</f>
        <v xml:space="preserve">MAGAZ LUIZA </v>
      </c>
      <c r="E11" s="69" t="str">
        <f>VLOOKUP(LEFT(B11,4),Tabela_Auxiliar!$A:$E,3,FALSE)</f>
        <v>Consumo Cíclico</v>
      </c>
      <c r="F11" s="69" t="str">
        <f>VLOOKUP(LEFT(B11,4),Tabela_Auxiliar!$A:$E,5,FALSE)</f>
        <v>Eletrodomésticos</v>
      </c>
      <c r="G11" s="69" t="str">
        <f>VLOOKUP(LEFT(B11,4),Tabela_Auxiliar!$A:$E,5,FALSE)</f>
        <v>Eletrodomésticos</v>
      </c>
      <c r="I11" s="77" t="s">
        <v>921</v>
      </c>
      <c r="J11" s="76">
        <v>1.0795009999999999E-2</v>
      </c>
    </row>
    <row r="12" spans="1:10" ht="15" customHeight="1" x14ac:dyDescent="0.3">
      <c r="A12" s="68">
        <v>43990</v>
      </c>
      <c r="B12" s="69" t="s">
        <v>33</v>
      </c>
      <c r="C12" s="72">
        <v>2.057546E-2</v>
      </c>
      <c r="D12" s="69" t="str">
        <f>VLOOKUP(LEFT(B12,4),Tabela_Auxiliar!$A:$E,2,FALSE)</f>
        <v>LOJAS RENNER</v>
      </c>
      <c r="E12" s="69" t="str">
        <f>VLOOKUP(LEFT(B12,4),Tabela_Auxiliar!$A:$E,3,FALSE)</f>
        <v>Consumo Cíclico</v>
      </c>
      <c r="F12" s="69" t="str">
        <f>VLOOKUP(LEFT(B12,4),Tabela_Auxiliar!$A:$E,5,FALSE)</f>
        <v>Tecidos, Vestuário e Calçados</v>
      </c>
      <c r="G12" s="69" t="str">
        <f>VLOOKUP(LEFT(B12,4),Tabela_Auxiliar!$A:$E,5,FALSE)</f>
        <v>Tecidos, Vestuário e Calçados</v>
      </c>
      <c r="I12" s="78" t="s">
        <v>921</v>
      </c>
      <c r="J12" s="76">
        <v>1.0795009999999999E-2</v>
      </c>
    </row>
    <row r="13" spans="1:10" ht="15" customHeight="1" x14ac:dyDescent="0.3">
      <c r="A13" s="68">
        <v>43990</v>
      </c>
      <c r="B13" s="69" t="s">
        <v>1039</v>
      </c>
      <c r="C13" s="72">
        <v>2.0114429999999999E-2</v>
      </c>
      <c r="D13" s="69" t="str">
        <f>VLOOKUP(LEFT(B13,4),Tabela_Auxiliar!$A:$E,2,FALSE)</f>
        <v xml:space="preserve">JBS         </v>
      </c>
      <c r="E13" s="69" t="str">
        <f>VLOOKUP(LEFT(B13,4),Tabela_Auxiliar!$A:$E,3,FALSE)</f>
        <v>Consumo não Cíclico</v>
      </c>
      <c r="F13" s="69" t="str">
        <f>VLOOKUP(LEFT(B13,4),Tabela_Auxiliar!$A:$E,5,FALSE)</f>
        <v>Carnes e Derivados</v>
      </c>
      <c r="G13" s="69" t="str">
        <f>VLOOKUP(LEFT(B13,4),Tabela_Auxiliar!$A:$E,5,FALSE)</f>
        <v>Carnes e Derivados</v>
      </c>
      <c r="I13" s="75" t="s">
        <v>84</v>
      </c>
      <c r="J13" s="76">
        <v>0.15214913000000002</v>
      </c>
    </row>
    <row r="14" spans="1:10" ht="15" customHeight="1" x14ac:dyDescent="0.3">
      <c r="A14" s="68">
        <v>43990</v>
      </c>
      <c r="B14" s="69" t="s">
        <v>47</v>
      </c>
      <c r="C14" s="72">
        <v>1.7899040000000001E-2</v>
      </c>
      <c r="D14" s="69" t="str">
        <f>VLOOKUP(LEFT(B14,4),Tabela_Auxiliar!$A:$E,2,FALSE)</f>
        <v xml:space="preserve">WEG         </v>
      </c>
      <c r="E14" s="69" t="str">
        <f>VLOOKUP(LEFT(B14,4),Tabela_Auxiliar!$A:$E,3,FALSE)</f>
        <v>Bens Industriais</v>
      </c>
      <c r="F14" s="69" t="str">
        <f>VLOOKUP(LEFT(B14,4),Tabela_Auxiliar!$A:$E,5,FALSE)</f>
        <v>Motores, Compressores e Outros</v>
      </c>
      <c r="G14" s="69" t="str">
        <f>VLOOKUP(LEFT(B14,4),Tabela_Auxiliar!$A:$E,5,FALSE)</f>
        <v>Motores, Compressores e Outros</v>
      </c>
      <c r="I14" s="77" t="s">
        <v>85</v>
      </c>
      <c r="J14" s="76">
        <v>0.10224850000000001</v>
      </c>
    </row>
    <row r="15" spans="1:10" ht="15" customHeight="1" x14ac:dyDescent="0.3">
      <c r="A15" s="68">
        <v>43990</v>
      </c>
      <c r="B15" s="69" t="s">
        <v>1036</v>
      </c>
      <c r="C15" s="72">
        <v>1.6695729999999999E-2</v>
      </c>
      <c r="D15" s="69" t="str">
        <f>VLOOKUP(LEFT(B15,4),Tabela_Auxiliar!$A:$E,2,FALSE)</f>
        <v>INTERMEDICA</v>
      </c>
      <c r="E15" s="69" t="str">
        <f>VLOOKUP(LEFT(B15,4),Tabela_Auxiliar!$A:$E,3,FALSE)</f>
        <v>Saúde</v>
      </c>
      <c r="F15" s="69" t="str">
        <f>VLOOKUP(LEFT(B15,4),Tabela_Auxiliar!$A:$E,5,FALSE)</f>
        <v>Análises e Diagnósticos</v>
      </c>
      <c r="G15" s="69" t="str">
        <f>VLOOKUP(LEFT(B15,4),Tabela_Auxiliar!$A:$E,5,FALSE)</f>
        <v>Análises e Diagnósticos</v>
      </c>
      <c r="I15" s="78" t="s">
        <v>86</v>
      </c>
      <c r="J15" s="76">
        <v>0.10224850000000001</v>
      </c>
    </row>
    <row r="16" spans="1:10" ht="15" customHeight="1" x14ac:dyDescent="0.3">
      <c r="A16" s="68">
        <v>43990</v>
      </c>
      <c r="B16" s="69" t="s">
        <v>1041</v>
      </c>
      <c r="C16" s="72">
        <v>1.6539459999999999E-2</v>
      </c>
      <c r="D16" s="69" t="str">
        <f>VLOOKUP(LEFT(B16,4),Tabela_Auxiliar!$A:$E,2,FALSE)</f>
        <v xml:space="preserve">GRUPO NATURA      </v>
      </c>
      <c r="E16" s="69" t="str">
        <f>VLOOKUP(LEFT(B16,4),Tabela_Auxiliar!$A:$E,3,FALSE)</f>
        <v>Consumo não Cíclico</v>
      </c>
      <c r="F16" s="69" t="str">
        <f>VLOOKUP(LEFT(B16,4),Tabela_Auxiliar!$A:$E,5,FALSE)</f>
        <v>Produtos de Uso Pessoal</v>
      </c>
      <c r="G16" s="69" t="str">
        <f>VLOOKUP(LEFT(B16,4),Tabela_Auxiliar!$A:$E,5,FALSE)</f>
        <v>Produtos de Uso Pessoal</v>
      </c>
      <c r="I16" s="77" t="s">
        <v>146</v>
      </c>
      <c r="J16" s="76">
        <v>2.2792409999999999E-2</v>
      </c>
    </row>
    <row r="17" spans="1:10" ht="15" customHeight="1" x14ac:dyDescent="0.3">
      <c r="A17" s="68">
        <v>43990</v>
      </c>
      <c r="B17" s="69" t="s">
        <v>41</v>
      </c>
      <c r="C17" s="72">
        <v>1.5704869999999999E-2</v>
      </c>
      <c r="D17" s="69" t="str">
        <f>VLOOKUP(LEFT(B17,4),Tabela_Auxiliar!$A:$E,2,FALSE)</f>
        <v>SUZANO S.A.</v>
      </c>
      <c r="E17" s="69" t="str">
        <f>VLOOKUP(LEFT(B17,4),Tabela_Auxiliar!$A:$E,3,FALSE)</f>
        <v>Materiais Básicos</v>
      </c>
      <c r="F17" s="69" t="str">
        <f>VLOOKUP(LEFT(B17,4),Tabela_Auxiliar!$A:$E,5,FALSE)</f>
        <v>Papel e Celulose</v>
      </c>
      <c r="G17" s="69" t="str">
        <f>VLOOKUP(LEFT(B17,4),Tabela_Auxiliar!$A:$E,5,FALSE)</f>
        <v>Papel e Celulose</v>
      </c>
      <c r="I17" s="78" t="s">
        <v>146</v>
      </c>
      <c r="J17" s="76">
        <v>2.2792409999999999E-2</v>
      </c>
    </row>
    <row r="18" spans="1:10" ht="15" customHeight="1" x14ac:dyDescent="0.3">
      <c r="A18" s="68">
        <v>43990</v>
      </c>
      <c r="B18" s="69" t="s">
        <v>1028</v>
      </c>
      <c r="C18" s="72">
        <v>1.522578E-2</v>
      </c>
      <c r="D18" s="69" t="str">
        <f>VLOOKUP(LEFT(B18,4),Tabela_Auxiliar!$A:$E,2,FALSE)</f>
        <v xml:space="preserve">BRADESCO    </v>
      </c>
      <c r="E18" s="69" t="str">
        <f>VLOOKUP(LEFT(B18,4),Tabela_Auxiliar!$A:$E,3,FALSE)</f>
        <v>Financeiro</v>
      </c>
      <c r="F18" s="69" t="str">
        <f>VLOOKUP(LEFT(B18,4),Tabela_Auxiliar!$A:$E,5,FALSE)</f>
        <v>Bancos</v>
      </c>
      <c r="G18" s="69" t="str">
        <f>VLOOKUP(LEFT(B18,4),Tabela_Auxiliar!$A:$E,5,FALSE)</f>
        <v>Bancos</v>
      </c>
      <c r="I18" s="77" t="s">
        <v>100</v>
      </c>
      <c r="J18" s="76">
        <v>1.8484150000000001E-2</v>
      </c>
    </row>
    <row r="19" spans="1:10" ht="15" customHeight="1" x14ac:dyDescent="0.3">
      <c r="A19" s="68">
        <v>43990</v>
      </c>
      <c r="B19" s="69" t="s">
        <v>39</v>
      </c>
      <c r="C19" s="72">
        <v>1.453058E-2</v>
      </c>
      <c r="D19" s="69" t="str">
        <f>VLOOKUP(LEFT(B19,4),Tabela_Auxiliar!$A:$E,2,FALSE)</f>
        <v xml:space="preserve">LOCALIZA    </v>
      </c>
      <c r="E19" s="69" t="str">
        <f>VLOOKUP(LEFT(B19,4),Tabela_Auxiliar!$A:$E,3,FALSE)</f>
        <v>Consumo Cíclico</v>
      </c>
      <c r="F19" s="69" t="str">
        <f>VLOOKUP(LEFT(B19,4),Tabela_Auxiliar!$A:$E,5,FALSE)</f>
        <v>Aluguel de carros</v>
      </c>
      <c r="G19" s="69" t="str">
        <f>VLOOKUP(LEFT(B19,4),Tabela_Auxiliar!$A:$E,5,FALSE)</f>
        <v>Aluguel de carros</v>
      </c>
      <c r="I19" s="78" t="s">
        <v>100</v>
      </c>
      <c r="J19" s="76">
        <v>1.8484150000000001E-2</v>
      </c>
    </row>
    <row r="20" spans="1:10" ht="15" customHeight="1" x14ac:dyDescent="0.3">
      <c r="A20" s="68">
        <v>43990</v>
      </c>
      <c r="B20" s="69" t="s">
        <v>1044</v>
      </c>
      <c r="C20" s="72">
        <v>1.4440730000000001E-2</v>
      </c>
      <c r="D20" s="69" t="str">
        <f>VLOOKUP(LEFT(B20,4),Tabela_Auxiliar!$A:$E,2,FALSE)</f>
        <v>RUMO S.A.</v>
      </c>
      <c r="E20" s="69" t="str">
        <f>VLOOKUP(LEFT(B20,4),Tabela_Auxiliar!$A:$E,3,FALSE)</f>
        <v>Bens Industriais</v>
      </c>
      <c r="F20" s="69" t="str">
        <f>VLOOKUP(LEFT(B20,4),Tabela_Auxiliar!$A:$E,5,FALSE)</f>
        <v>Transporte Ferroviário</v>
      </c>
      <c r="G20" s="69" t="str">
        <f>VLOOKUP(LEFT(B20,4),Tabela_Auxiliar!$A:$E,5,FALSE)</f>
        <v>Transporte Ferroviário</v>
      </c>
      <c r="I20" s="77" t="s">
        <v>86</v>
      </c>
      <c r="J20" s="76">
        <v>4.4903800000000004E-3</v>
      </c>
    </row>
    <row r="21" spans="1:10" ht="15" customHeight="1" x14ac:dyDescent="0.3">
      <c r="A21" s="68">
        <v>43990</v>
      </c>
      <c r="B21" s="69" t="s">
        <v>38</v>
      </c>
      <c r="C21" s="72">
        <v>1.301329E-2</v>
      </c>
      <c r="D21" s="69" t="str">
        <f>VLOOKUP(LEFT(B21,4),Tabela_Auxiliar!$A:$E,2,FALSE)</f>
        <v xml:space="preserve">RAIADROGASIL    </v>
      </c>
      <c r="E21" s="69" t="str">
        <f>VLOOKUP(LEFT(B21,4),Tabela_Auxiliar!$A:$E,3,FALSE)</f>
        <v>Saúde</v>
      </c>
      <c r="F21" s="69" t="str">
        <f>VLOOKUP(LEFT(B21,4),Tabela_Auxiliar!$A:$E,5,FALSE)</f>
        <v>Medicamentos e Outros Produtos</v>
      </c>
      <c r="G21" s="69" t="str">
        <f>VLOOKUP(LEFT(B21,4),Tabela_Auxiliar!$A:$E,5,FALSE)</f>
        <v>Medicamentos e Outros Produtos</v>
      </c>
      <c r="I21" s="78" t="s">
        <v>86</v>
      </c>
      <c r="J21" s="76">
        <v>4.4903800000000004E-3</v>
      </c>
    </row>
    <row r="22" spans="1:10" ht="15" customHeight="1" x14ac:dyDescent="0.3">
      <c r="A22" s="68">
        <v>43990</v>
      </c>
      <c r="B22" s="69" t="s">
        <v>22</v>
      </c>
      <c r="C22" s="72">
        <v>1.234304E-2</v>
      </c>
      <c r="D22" s="69" t="str">
        <f>VLOOKUP(LEFT(B22,4),Tabela_Auxiliar!$A:$E,2,FALSE)</f>
        <v xml:space="preserve">EQUATORIAL  </v>
      </c>
      <c r="E22" s="69" t="str">
        <f>VLOOKUP(LEFT(B22,4),Tabela_Auxiliar!$A:$E,3,FALSE)</f>
        <v>Utilidade Pública</v>
      </c>
      <c r="F22" s="69" t="str">
        <f>VLOOKUP(LEFT(B22,4),Tabela_Auxiliar!$A:$E,5,FALSE)</f>
        <v>Energia Elétrica</v>
      </c>
      <c r="G22" s="69" t="str">
        <f>VLOOKUP(LEFT(B22,4),Tabela_Auxiliar!$A:$E,5,FALSE)</f>
        <v>Energia Elétrica</v>
      </c>
      <c r="I22" s="77" t="s">
        <v>122</v>
      </c>
      <c r="J22" s="76">
        <v>4.1336899999999998E-3</v>
      </c>
    </row>
    <row r="23" spans="1:10" ht="15" customHeight="1" x14ac:dyDescent="0.3">
      <c r="A23" s="68">
        <v>43990</v>
      </c>
      <c r="B23" s="69" t="s">
        <v>1047</v>
      </c>
      <c r="C23" s="72">
        <v>1.178386E-2</v>
      </c>
      <c r="D23" s="69" t="str">
        <f>VLOOKUP(LEFT(B23,4),Tabela_Auxiliar!$A:$E,2,FALSE)</f>
        <v xml:space="preserve">ULTRAPAR    </v>
      </c>
      <c r="E23" s="69" t="str">
        <f>VLOOKUP(LEFT(B23,4),Tabela_Auxiliar!$A:$E,3,FALSE)</f>
        <v>Petróleo, Gás e Biocombustíveis</v>
      </c>
      <c r="F23" s="69" t="str">
        <f>VLOOKUP(LEFT(B23,4),Tabela_Auxiliar!$A:$E,5,FALSE)</f>
        <v>Exploração, Refino e Distribuição</v>
      </c>
      <c r="G23" s="69" t="str">
        <f>VLOOKUP(LEFT(B23,4),Tabela_Auxiliar!$A:$E,5,FALSE)</f>
        <v>Exploração, Refino e Distribuição</v>
      </c>
      <c r="I23" s="78" t="s">
        <v>122</v>
      </c>
      <c r="J23" s="76">
        <v>4.1336899999999998E-3</v>
      </c>
    </row>
    <row r="24" spans="1:10" ht="15" customHeight="1" x14ac:dyDescent="0.3">
      <c r="A24" s="68">
        <v>43990</v>
      </c>
      <c r="B24" s="69" t="s">
        <v>32</v>
      </c>
      <c r="C24" s="72">
        <v>1.1762999999999999E-2</v>
      </c>
      <c r="D24" s="69" t="str">
        <f>VLOOKUP(LEFT(B24,4),Tabela_Auxiliar!$A:$E,2,FALSE)</f>
        <v>LOJAS AMERIC</v>
      </c>
      <c r="E24" s="69" t="str">
        <f>VLOOKUP(LEFT(B24,4),Tabela_Auxiliar!$A:$E,3,FALSE)</f>
        <v>Consumo Cíclico</v>
      </c>
      <c r="F24" s="69" t="str">
        <f>VLOOKUP(LEFT(B24,4),Tabela_Auxiliar!$A:$E,5,FALSE)</f>
        <v>Produtos Diversos</v>
      </c>
      <c r="G24" s="69" t="str">
        <f>VLOOKUP(LEFT(B24,4),Tabela_Auxiliar!$A:$E,5,FALSE)</f>
        <v>Produtos Diversos</v>
      </c>
      <c r="I24" s="75" t="s">
        <v>59</v>
      </c>
      <c r="J24" s="76">
        <v>0.12451565000000001</v>
      </c>
    </row>
    <row r="25" spans="1:10" ht="15" customHeight="1" x14ac:dyDescent="0.3">
      <c r="A25" s="68">
        <v>43990</v>
      </c>
      <c r="B25" s="69" t="s">
        <v>46</v>
      </c>
      <c r="C25" s="72">
        <v>1.1425090000000001E-2</v>
      </c>
      <c r="D25" s="69" t="str">
        <f>VLOOKUP(LEFT(B25,4),Tabela_Auxiliar!$A:$E,2,FALSE)</f>
        <v>TELEF BRASIL</v>
      </c>
      <c r="E25" s="69" t="str">
        <f>VLOOKUP(LEFT(B25,4),Tabela_Auxiliar!$A:$E,3,FALSE)</f>
        <v>Comunicações</v>
      </c>
      <c r="F25" s="69" t="str">
        <f>VLOOKUP(LEFT(B25,4),Tabela_Auxiliar!$A:$E,5,FALSE)</f>
        <v>Telecomunicações</v>
      </c>
      <c r="G25" s="69" t="str">
        <f>VLOOKUP(LEFT(B25,4),Tabela_Auxiliar!$A:$E,5,FALSE)</f>
        <v>Telecomunicações</v>
      </c>
      <c r="I25" s="77" t="s">
        <v>60</v>
      </c>
      <c r="J25" s="76">
        <v>0.12451565000000001</v>
      </c>
    </row>
    <row r="26" spans="1:10" ht="15" customHeight="1" x14ac:dyDescent="0.3">
      <c r="A26" s="68">
        <v>43990</v>
      </c>
      <c r="B26" s="69" t="s">
        <v>5</v>
      </c>
      <c r="C26" s="72">
        <v>1.081443E-2</v>
      </c>
      <c r="D26" s="69" t="str">
        <f>VLOOKUP(LEFT(B26,4),Tabela_Auxiliar!$A:$E,2,FALSE)</f>
        <v>BBSEGURIDADE</v>
      </c>
      <c r="E26" s="69" t="str">
        <f>VLOOKUP(LEFT(B26,4),Tabela_Auxiliar!$A:$E,3,FALSE)</f>
        <v>Financeiro</v>
      </c>
      <c r="F26" s="69" t="str">
        <f>VLOOKUP(LEFT(B26,4),Tabela_Auxiliar!$A:$E,5,FALSE)</f>
        <v>Seguradoras</v>
      </c>
      <c r="G26" s="69" t="str">
        <f>VLOOKUP(LEFT(B26,4),Tabela_Auxiliar!$A:$E,5,FALSE)</f>
        <v>Seguradoras</v>
      </c>
      <c r="I26" s="78" t="s">
        <v>60</v>
      </c>
      <c r="J26" s="76">
        <v>0.12451565000000001</v>
      </c>
    </row>
    <row r="27" spans="1:10" ht="15" customHeight="1" x14ac:dyDescent="0.3">
      <c r="A27" s="68">
        <v>43990</v>
      </c>
      <c r="B27" s="69" t="s">
        <v>8</v>
      </c>
      <c r="C27" s="72">
        <v>1.069647E-2</v>
      </c>
      <c r="D27" s="69" t="str">
        <f>VLOOKUP(LEFT(B27,4),Tabela_Auxiliar!$A:$E,2,FALSE)</f>
        <v xml:space="preserve">BRF SA   </v>
      </c>
      <c r="E27" s="69" t="str">
        <f>VLOOKUP(LEFT(B27,4),Tabela_Auxiliar!$A:$E,3,FALSE)</f>
        <v>Consumo não Cíclico</v>
      </c>
      <c r="F27" s="69" t="str">
        <f>VLOOKUP(LEFT(B27,4),Tabela_Auxiliar!$A:$E,5,FALSE)</f>
        <v>Carnes e Derivados</v>
      </c>
      <c r="G27" s="69" t="str">
        <f>VLOOKUP(LEFT(B27,4),Tabela_Auxiliar!$A:$E,5,FALSE)</f>
        <v>Carnes e Derivados</v>
      </c>
      <c r="I27" s="75" t="s">
        <v>396</v>
      </c>
      <c r="J27" s="76">
        <v>0.11374586</v>
      </c>
    </row>
    <row r="28" spans="1:10" ht="15" customHeight="1" x14ac:dyDescent="0.3">
      <c r="A28" s="68">
        <v>43990</v>
      </c>
      <c r="B28" s="69" t="s">
        <v>1046</v>
      </c>
      <c r="C28" s="72">
        <v>1.058863E-2</v>
      </c>
      <c r="D28" s="69" t="str">
        <f>VLOOKUP(LEFT(B28,4),Tabela_Auxiliar!$A:$E,2,FALSE)</f>
        <v xml:space="preserve">SABESP      </v>
      </c>
      <c r="E28" s="69" t="str">
        <f>VLOOKUP(LEFT(B28,4),Tabela_Auxiliar!$A:$E,3,FALSE)</f>
        <v>Utilidade Pública</v>
      </c>
      <c r="F28" s="69" t="str">
        <f>VLOOKUP(LEFT(B28,4),Tabela_Auxiliar!$A:$E,5,FALSE)</f>
        <v>Água e Saneamento</v>
      </c>
      <c r="G28" s="69" t="str">
        <f>VLOOKUP(LEFT(B28,4),Tabela_Auxiliar!$A:$E,5,FALSE)</f>
        <v>Água e Saneamento</v>
      </c>
      <c r="I28" s="77" t="s">
        <v>485</v>
      </c>
      <c r="J28" s="76">
        <v>3.3485439999999998E-2</v>
      </c>
    </row>
    <row r="29" spans="1:10" ht="15" customHeight="1" x14ac:dyDescent="0.3">
      <c r="A29" s="68">
        <v>43990</v>
      </c>
      <c r="B29" s="69" t="s">
        <v>11</v>
      </c>
      <c r="C29" s="72">
        <v>1.0272150000000001E-2</v>
      </c>
      <c r="D29" s="69" t="str">
        <f>VLOOKUP(LEFT(B29,4),Tabela_Auxiliar!$A:$E,2,FALSE)</f>
        <v>B2W DIGITAL</v>
      </c>
      <c r="E29" s="69" t="str">
        <f>VLOOKUP(LEFT(B29,4),Tabela_Auxiliar!$A:$E,3,FALSE)</f>
        <v>Consumo Cíclico</v>
      </c>
      <c r="F29" s="69" t="str">
        <f>VLOOKUP(LEFT(B29,4),Tabela_Auxiliar!$A:$E,5,FALSE)</f>
        <v>Produtos Diversos</v>
      </c>
      <c r="G29" s="69" t="str">
        <f>VLOOKUP(LEFT(B29,4),Tabela_Auxiliar!$A:$E,5,FALSE)</f>
        <v>Produtos Diversos</v>
      </c>
      <c r="I29" s="78" t="s">
        <v>485</v>
      </c>
      <c r="J29" s="76">
        <v>3.3485439999999998E-2</v>
      </c>
    </row>
    <row r="30" spans="1:10" ht="15" customHeight="1" x14ac:dyDescent="0.3">
      <c r="A30" s="68">
        <v>43990</v>
      </c>
      <c r="B30" s="69" t="s">
        <v>1049</v>
      </c>
      <c r="C30" s="72">
        <v>1.007723E-2</v>
      </c>
      <c r="D30" s="69" t="str">
        <f>VLOOKUP(LEFT(B30,4),Tabela_Auxiliar!$A:$E,2,FALSE)</f>
        <v>VIAVAREJO</v>
      </c>
      <c r="E30" s="69" t="str">
        <f>VLOOKUP(LEFT(B30,4),Tabela_Auxiliar!$A:$E,3,FALSE)</f>
        <v>Consumo Cíclico</v>
      </c>
      <c r="F30" s="69" t="str">
        <f>VLOOKUP(LEFT(B30,4),Tabela_Auxiliar!$A:$E,5,FALSE)</f>
        <v>Eletrodomésticos</v>
      </c>
      <c r="G30" s="69" t="str">
        <f>VLOOKUP(LEFT(B30,4),Tabela_Auxiliar!$A:$E,5,FALSE)</f>
        <v>Eletrodomésticos</v>
      </c>
      <c r="I30" s="77" t="s">
        <v>572</v>
      </c>
      <c r="J30" s="76">
        <v>2.203515E-2</v>
      </c>
    </row>
    <row r="31" spans="1:10" ht="15" customHeight="1" x14ac:dyDescent="0.3">
      <c r="A31" s="68">
        <v>43990</v>
      </c>
      <c r="B31" s="69" t="s">
        <v>1029</v>
      </c>
      <c r="C31" s="72">
        <v>9.9081099999999995E-3</v>
      </c>
      <c r="D31" s="69" t="str">
        <f>VLOOKUP(LEFT(B31,4),Tabela_Auxiliar!$A:$E,2,FALSE)</f>
        <v>PETROBRAS BR</v>
      </c>
      <c r="E31" s="69" t="str">
        <f>VLOOKUP(LEFT(B31,4),Tabela_Auxiliar!$A:$E,3,FALSE)</f>
        <v>Petróleo, Gás e Biocombustíveis</v>
      </c>
      <c r="F31" s="69" t="str">
        <f>VLOOKUP(LEFT(B31,4),Tabela_Auxiliar!$A:$E,5,FALSE)</f>
        <v>Exploração, Refino e Distribuição</v>
      </c>
      <c r="G31" s="69" t="str">
        <f>VLOOKUP(LEFT(B31,4),Tabela_Auxiliar!$A:$E,5,FALSE)</f>
        <v>Exploração, Refino e Distribuição</v>
      </c>
      <c r="I31" s="78" t="s">
        <v>572</v>
      </c>
      <c r="J31" s="76">
        <v>2.203515E-2</v>
      </c>
    </row>
    <row r="32" spans="1:10" ht="15" customHeight="1" x14ac:dyDescent="0.3">
      <c r="A32" s="68">
        <v>43990</v>
      </c>
      <c r="B32" s="69" t="s">
        <v>12</v>
      </c>
      <c r="C32" s="72">
        <v>9.4508300000000003E-3</v>
      </c>
      <c r="D32" s="69" t="str">
        <f>VLOOKUP(LEFT(B32,4),Tabela_Auxiliar!$A:$E,2,FALSE)</f>
        <v xml:space="preserve">CCR SA      </v>
      </c>
      <c r="E32" s="69" t="str">
        <f>VLOOKUP(LEFT(B32,4),Tabela_Auxiliar!$A:$E,3,FALSE)</f>
        <v>Bens Industriais</v>
      </c>
      <c r="F32" s="69" t="str">
        <f>VLOOKUP(LEFT(B32,4),Tabela_Auxiliar!$A:$E,5,FALSE)</f>
        <v>Exploração de Rodovias</v>
      </c>
      <c r="G32" s="69" t="str">
        <f>VLOOKUP(LEFT(B32,4),Tabela_Auxiliar!$A:$E,5,FALSE)</f>
        <v>Exploração de Rodovias</v>
      </c>
      <c r="I32" s="77" t="s">
        <v>441</v>
      </c>
      <c r="J32" s="76">
        <v>2.057546E-2</v>
      </c>
    </row>
    <row r="33" spans="1:10" ht="15" customHeight="1" x14ac:dyDescent="0.3">
      <c r="A33" s="68">
        <v>43990</v>
      </c>
      <c r="B33" s="69" t="s">
        <v>24</v>
      </c>
      <c r="C33" s="72">
        <v>9.0629100000000004E-3</v>
      </c>
      <c r="D33" s="69" t="str">
        <f>VLOOKUP(LEFT(B33,4),Tabela_Auxiliar!$A:$E,2,FALSE)</f>
        <v xml:space="preserve">GERDAU      </v>
      </c>
      <c r="E33" s="69" t="str">
        <f>VLOOKUP(LEFT(B33,4),Tabela_Auxiliar!$A:$E,3,FALSE)</f>
        <v>Materiais Básicos</v>
      </c>
      <c r="F33" s="69" t="str">
        <f>VLOOKUP(LEFT(B33,4),Tabela_Auxiliar!$A:$E,5,FALSE)</f>
        <v>Siderurgia</v>
      </c>
      <c r="G33" s="69" t="str">
        <f>VLOOKUP(LEFT(B33,4),Tabela_Auxiliar!$A:$E,5,FALSE)</f>
        <v>Siderurgia</v>
      </c>
      <c r="I33" s="78" t="s">
        <v>441</v>
      </c>
      <c r="J33" s="76">
        <v>2.057546E-2</v>
      </c>
    </row>
    <row r="34" spans="1:10" ht="15" customHeight="1" x14ac:dyDescent="0.3">
      <c r="A34" s="68">
        <v>43990</v>
      </c>
      <c r="B34" s="69" t="s">
        <v>26</v>
      </c>
      <c r="C34" s="72">
        <v>7.9945999999999993E-3</v>
      </c>
      <c r="D34" s="69" t="str">
        <f>VLOOKUP(LEFT(B34,4),Tabela_Auxiliar!$A:$E,2,FALSE)</f>
        <v>HYPERA</v>
      </c>
      <c r="E34" s="69" t="str">
        <f>VLOOKUP(LEFT(B34,4),Tabela_Auxiliar!$A:$E,3,FALSE)</f>
        <v>Saúde</v>
      </c>
      <c r="F34" s="69" t="str">
        <f>VLOOKUP(LEFT(B34,4),Tabela_Auxiliar!$A:$E,5,FALSE)</f>
        <v>Medicamentos e Outros Produtos</v>
      </c>
      <c r="G34" s="69" t="str">
        <f>VLOOKUP(LEFT(B34,4),Tabela_Auxiliar!$A:$E,5,FALSE)</f>
        <v>Medicamentos e Outros Produtos</v>
      </c>
      <c r="I34" s="77" t="s">
        <v>540</v>
      </c>
      <c r="J34" s="76">
        <v>1.453058E-2</v>
      </c>
    </row>
    <row r="35" spans="1:10" ht="15" customHeight="1" x14ac:dyDescent="0.3">
      <c r="A35" s="68">
        <v>43990</v>
      </c>
      <c r="B35" s="69" t="s">
        <v>7</v>
      </c>
      <c r="C35" s="72">
        <v>7.5277699999999996E-3</v>
      </c>
      <c r="D35" s="69" t="str">
        <f>VLOOKUP(LEFT(B35,4),Tabela_Auxiliar!$A:$E,2,FALSE)</f>
        <v>BTGP BANCO</v>
      </c>
      <c r="E35" s="69" t="str">
        <f>VLOOKUP(LEFT(B35,4),Tabela_Auxiliar!$A:$E,3,FALSE)</f>
        <v>Financeiro</v>
      </c>
      <c r="F35" s="69" t="str">
        <f>VLOOKUP(LEFT(B35,4),Tabela_Auxiliar!$A:$E,5,FALSE)</f>
        <v>Bancos</v>
      </c>
      <c r="G35" s="69" t="str">
        <f>VLOOKUP(LEFT(B35,4),Tabela_Auxiliar!$A:$E,5,FALSE)</f>
        <v>Bancos</v>
      </c>
      <c r="I35" s="78" t="s">
        <v>540</v>
      </c>
      <c r="J35" s="76">
        <v>1.453058E-2</v>
      </c>
    </row>
    <row r="36" spans="1:10" ht="15" customHeight="1" x14ac:dyDescent="0.3">
      <c r="A36" s="68">
        <v>43990</v>
      </c>
      <c r="B36" s="69" t="s">
        <v>1038</v>
      </c>
      <c r="C36" s="72">
        <v>7.5159199999999997E-3</v>
      </c>
      <c r="D36" s="69" t="str">
        <f>VLOOKUP(LEFT(B36,4),Tabela_Auxiliar!$A:$E,2,FALSE)</f>
        <v>HAPVIDA</v>
      </c>
      <c r="E36" s="69" t="str">
        <f>VLOOKUP(LEFT(B36,4),Tabela_Auxiliar!$A:$E,3,FALSE)</f>
        <v>Saúde</v>
      </c>
      <c r="F36" s="69" t="str">
        <f>VLOOKUP(LEFT(B36,4),Tabela_Auxiliar!$A:$E,5,FALSE)</f>
        <v>Análises e Diagnósticos</v>
      </c>
      <c r="G36" s="69" t="str">
        <f>VLOOKUP(LEFT(B36,4),Tabela_Auxiliar!$A:$E,5,FALSE)</f>
        <v>Análises e Diagnósticos</v>
      </c>
      <c r="I36" s="77" t="s">
        <v>529</v>
      </c>
      <c r="J36" s="76">
        <v>1.346878E-2</v>
      </c>
    </row>
    <row r="37" spans="1:10" ht="15" customHeight="1" x14ac:dyDescent="0.3">
      <c r="A37" s="68">
        <v>43990</v>
      </c>
      <c r="B37" s="69" t="s">
        <v>40</v>
      </c>
      <c r="C37" s="72">
        <v>7.3174199999999998E-3</v>
      </c>
      <c r="D37" s="69" t="str">
        <f>VLOOKUP(LEFT(B37,4),Tabela_Auxiliar!$A:$E,2,FALSE)</f>
        <v xml:space="preserve">SUL AMERICA </v>
      </c>
      <c r="E37" s="69" t="str">
        <f>VLOOKUP(LEFT(B37,4),Tabela_Auxiliar!$A:$E,3,FALSE)</f>
        <v>Financeiro</v>
      </c>
      <c r="F37" s="69" t="str">
        <f>VLOOKUP(LEFT(B37,4),Tabela_Auxiliar!$A:$E,5,FALSE)</f>
        <v>Seguradoras</v>
      </c>
      <c r="G37" s="69" t="str">
        <f>VLOOKUP(LEFT(B37,4),Tabela_Auxiliar!$A:$E,5,FALSE)</f>
        <v>Seguradoras</v>
      </c>
      <c r="I37" s="78" t="s">
        <v>529</v>
      </c>
      <c r="J37" s="76">
        <v>1.346878E-2</v>
      </c>
    </row>
    <row r="38" spans="1:10" ht="15" customHeight="1" x14ac:dyDescent="0.3">
      <c r="A38" s="68">
        <v>43990</v>
      </c>
      <c r="B38" s="69" t="s">
        <v>14</v>
      </c>
      <c r="C38" s="72">
        <v>7.1567000000000002E-3</v>
      </c>
      <c r="D38" s="69" t="str">
        <f>VLOOKUP(LEFT(B38,4),Tabela_Auxiliar!$A:$E,2,FALSE)</f>
        <v>COGNA ON</v>
      </c>
      <c r="E38" s="69" t="str">
        <f>VLOOKUP(LEFT(B38,4),Tabela_Auxiliar!$A:$E,3,FALSE)</f>
        <v>Consumo Cíclico</v>
      </c>
      <c r="F38" s="69" t="str">
        <f>VLOOKUP(LEFT(B38,4),Tabela_Auxiliar!$A:$E,5,FALSE)</f>
        <v>Serviços Educacionais</v>
      </c>
      <c r="G38" s="69" t="str">
        <f>VLOOKUP(LEFT(B38,4),Tabela_Auxiliar!$A:$E,5,FALSE)</f>
        <v>Serviços Educacionais</v>
      </c>
      <c r="I38" s="77" t="s">
        <v>398</v>
      </c>
      <c r="J38" s="76">
        <v>6.53866E-3</v>
      </c>
    </row>
    <row r="39" spans="1:10" ht="15" customHeight="1" x14ac:dyDescent="0.3">
      <c r="A39" s="68">
        <v>43990</v>
      </c>
      <c r="B39" s="69" t="s">
        <v>1035</v>
      </c>
      <c r="C39" s="72">
        <v>7.1259399999999999E-3</v>
      </c>
      <c r="D39" s="69" t="str">
        <f>VLOOKUP(LEFT(B39,4),Tabela_Auxiliar!$A:$E,2,FALSE)</f>
        <v xml:space="preserve">ENERGISA    </v>
      </c>
      <c r="E39" s="69" t="str">
        <f>VLOOKUP(LEFT(B39,4),Tabela_Auxiliar!$A:$E,3,FALSE)</f>
        <v>Utilidade Pública</v>
      </c>
      <c r="F39" s="69" t="str">
        <f>VLOOKUP(LEFT(B39,4),Tabela_Auxiliar!$A:$E,5,FALSE)</f>
        <v>Energia Elétrica</v>
      </c>
      <c r="G39" s="69" t="str">
        <f>VLOOKUP(LEFT(B39,4),Tabela_Auxiliar!$A:$E,5,FALSE)</f>
        <v>Energia Elétrica</v>
      </c>
      <c r="I39" s="78" t="s">
        <v>398</v>
      </c>
      <c r="J39" s="76">
        <v>6.53866E-3</v>
      </c>
    </row>
    <row r="40" spans="1:10" ht="15" customHeight="1" x14ac:dyDescent="0.3">
      <c r="A40" s="68">
        <v>43990</v>
      </c>
      <c r="B40" s="69" t="s">
        <v>31</v>
      </c>
      <c r="C40" s="72">
        <v>7.0875399999999998E-3</v>
      </c>
      <c r="D40" s="69" t="str">
        <f>VLOOKUP(LEFT(B40,4),Tabela_Auxiliar!$A:$E,2,FALSE)</f>
        <v xml:space="preserve">KLABIN S/A  </v>
      </c>
      <c r="E40" s="69" t="str">
        <f>VLOOKUP(LEFT(B40,4),Tabela_Auxiliar!$A:$E,3,FALSE)</f>
        <v>Materiais Básicos</v>
      </c>
      <c r="F40" s="69" t="str">
        <f>VLOOKUP(LEFT(B40,4),Tabela_Auxiliar!$A:$E,5,FALSE)</f>
        <v>Papel e Celulose</v>
      </c>
      <c r="G40" s="69" t="str">
        <f>VLOOKUP(LEFT(B40,4),Tabela_Auxiliar!$A:$E,5,FALSE)</f>
        <v>Papel e Celulose</v>
      </c>
      <c r="I40" s="77" t="s">
        <v>522</v>
      </c>
      <c r="J40" s="76">
        <v>1.90226E-3</v>
      </c>
    </row>
    <row r="41" spans="1:10" ht="15" customHeight="1" x14ac:dyDescent="0.3">
      <c r="A41" s="68">
        <v>43990</v>
      </c>
      <c r="B41" s="69" t="s">
        <v>1045</v>
      </c>
      <c r="C41" s="72">
        <v>6.6398899999999999E-3</v>
      </c>
      <c r="D41" s="69" t="str">
        <f>VLOOKUP(LEFT(B41,4),Tabela_Auxiliar!$A:$E,2,FALSE)</f>
        <v>SANTANDER BR</v>
      </c>
      <c r="E41" s="69" t="str">
        <f>VLOOKUP(LEFT(B41,4),Tabela_Auxiliar!$A:$E,3,FALSE)</f>
        <v>Financeiro</v>
      </c>
      <c r="F41" s="69" t="str">
        <f>VLOOKUP(LEFT(B41,4),Tabela_Auxiliar!$A:$E,5,FALSE)</f>
        <v>Bancos</v>
      </c>
      <c r="G41" s="69" t="str">
        <f>VLOOKUP(LEFT(B41,4),Tabela_Auxiliar!$A:$E,5,FALSE)</f>
        <v>Bancos</v>
      </c>
      <c r="I41" s="78" t="s">
        <v>522</v>
      </c>
      <c r="J41" s="76">
        <v>1.90226E-3</v>
      </c>
    </row>
    <row r="42" spans="1:10" ht="15" customHeight="1" x14ac:dyDescent="0.3">
      <c r="A42" s="68">
        <v>43990</v>
      </c>
      <c r="B42" s="69" t="s">
        <v>43</v>
      </c>
      <c r="C42" s="72">
        <v>6.6129800000000001E-3</v>
      </c>
      <c r="D42" s="69" t="str">
        <f>VLOOKUP(LEFT(B42,4),Tabela_Auxiliar!$A:$E,2,FALSE)</f>
        <v>TIM PART S/A</v>
      </c>
      <c r="E42" s="69" t="str">
        <f>VLOOKUP(LEFT(B42,4),Tabela_Auxiliar!$A:$E,3,FALSE)</f>
        <v>Comunicações</v>
      </c>
      <c r="F42" s="69" t="str">
        <f>VLOOKUP(LEFT(B42,4),Tabela_Auxiliar!$A:$E,5,FALSE)</f>
        <v>Telecomunicações</v>
      </c>
      <c r="G42" s="69" t="str">
        <f>VLOOKUP(LEFT(B42,4),Tabela_Auxiliar!$A:$E,5,FALSE)</f>
        <v>Telecomunicações</v>
      </c>
      <c r="I42" s="77" t="s">
        <v>465</v>
      </c>
      <c r="J42" s="76">
        <v>1.2095299999999999E-3</v>
      </c>
    </row>
    <row r="43" spans="1:10" ht="15" customHeight="1" x14ac:dyDescent="0.3">
      <c r="A43" s="68">
        <v>43990</v>
      </c>
      <c r="B43" s="69" t="s">
        <v>13</v>
      </c>
      <c r="C43" s="72">
        <v>6.5780400000000003E-3</v>
      </c>
      <c r="D43" s="69" t="str">
        <f>VLOOKUP(LEFT(B43,4),Tabela_Auxiliar!$A:$E,2,FALSE)</f>
        <v xml:space="preserve">CEMIG       </v>
      </c>
      <c r="E43" s="69" t="str">
        <f>VLOOKUP(LEFT(B43,4),Tabela_Auxiliar!$A:$E,3,FALSE)</f>
        <v>Utilidade Pública</v>
      </c>
      <c r="F43" s="69" t="str">
        <f>VLOOKUP(LEFT(B43,4),Tabela_Auxiliar!$A:$E,5,FALSE)</f>
        <v>Energia Elétrica</v>
      </c>
      <c r="G43" s="69" t="str">
        <f>VLOOKUP(LEFT(B43,4),Tabela_Auxiliar!$A:$E,5,FALSE)</f>
        <v>Energia Elétrica</v>
      </c>
      <c r="I43" s="78" t="s">
        <v>465</v>
      </c>
      <c r="J43" s="76">
        <v>1.2095299999999999E-3</v>
      </c>
    </row>
    <row r="44" spans="1:10" ht="15" customHeight="1" x14ac:dyDescent="0.3">
      <c r="A44" s="68">
        <v>43990</v>
      </c>
      <c r="B44" s="69" t="s">
        <v>19</v>
      </c>
      <c r="C44" s="72">
        <v>6.4350400000000004E-3</v>
      </c>
      <c r="D44" s="69" t="str">
        <f>VLOOKUP(LEFT(B44,4),Tabela_Auxiliar!$A:$E,2,FALSE)</f>
        <v xml:space="preserve">ELETROBRAS  </v>
      </c>
      <c r="E44" s="69" t="str">
        <f>VLOOKUP(LEFT(B44,4),Tabela_Auxiliar!$A:$E,3,FALSE)</f>
        <v>Utilidade Pública</v>
      </c>
      <c r="F44" s="69" t="str">
        <f>VLOOKUP(LEFT(B44,4),Tabela_Auxiliar!$A:$E,5,FALSE)</f>
        <v>Energia Elétrica</v>
      </c>
      <c r="G44" s="69" t="str">
        <f>VLOOKUP(LEFT(B44,4),Tabela_Auxiliar!$A:$E,5,FALSE)</f>
        <v>Energia Elétrica</v>
      </c>
      <c r="I44" s="75" t="s">
        <v>334</v>
      </c>
      <c r="J44" s="76">
        <v>9.8364210000000007E-2</v>
      </c>
    </row>
    <row r="45" spans="1:10" ht="15" customHeight="1" x14ac:dyDescent="0.3">
      <c r="A45" s="68">
        <v>43990</v>
      </c>
      <c r="B45" s="69" t="s">
        <v>18</v>
      </c>
      <c r="C45" s="72">
        <v>6.3222699999999996E-3</v>
      </c>
      <c r="D45" s="69" t="str">
        <f>VLOOKUP(LEFT(B45,4),Tabela_Auxiliar!$A:$E,2,FALSE)</f>
        <v>ENGIE BRASIL</v>
      </c>
      <c r="E45" s="69" t="str">
        <f>VLOOKUP(LEFT(B45,4),Tabela_Auxiliar!$A:$E,3,FALSE)</f>
        <v>Utilidade Pública</v>
      </c>
      <c r="F45" s="69" t="str">
        <f>VLOOKUP(LEFT(B45,4),Tabela_Auxiliar!$A:$E,5,FALSE)</f>
        <v>Energia Elétrica</v>
      </c>
      <c r="G45" s="69" t="str">
        <f>VLOOKUP(LEFT(B45,4),Tabela_Auxiliar!$A:$E,5,FALSE)</f>
        <v>Energia Elétrica</v>
      </c>
      <c r="I45" s="77" t="s">
        <v>380</v>
      </c>
      <c r="J45" s="76">
        <v>3.6044399999999997E-2</v>
      </c>
    </row>
    <row r="46" spans="1:10" ht="15" customHeight="1" x14ac:dyDescent="0.3">
      <c r="A46" s="68">
        <v>43990</v>
      </c>
      <c r="B46" s="69" t="s">
        <v>48</v>
      </c>
      <c r="C46" s="72">
        <v>6.3120800000000003E-3</v>
      </c>
      <c r="D46" s="69" t="str">
        <f>VLOOKUP(LEFT(B46,4),Tabela_Auxiliar!$A:$E,2,FALSE)</f>
        <v>YDUQS PART</v>
      </c>
      <c r="E46" s="69" t="str">
        <f>VLOOKUP(LEFT(B46,4),Tabela_Auxiliar!$A:$E,3,FALSE)</f>
        <v>Consumo Cíclico</v>
      </c>
      <c r="F46" s="69" t="str">
        <f>VLOOKUP(LEFT(B46,4),Tabela_Auxiliar!$A:$E,5,FALSE)</f>
        <v>Serviços Educacionais</v>
      </c>
      <c r="G46" s="69" t="str">
        <f>VLOOKUP(LEFT(B46,4),Tabela_Auxiliar!$A:$E,5,FALSE)</f>
        <v>Serviços Educacionais</v>
      </c>
      <c r="I46" s="78" t="s">
        <v>380</v>
      </c>
      <c r="J46" s="76">
        <v>3.6044399999999997E-2</v>
      </c>
    </row>
    <row r="47" spans="1:10" ht="15" customHeight="1" x14ac:dyDescent="0.3">
      <c r="A47" s="68">
        <v>43990</v>
      </c>
      <c r="B47" s="69" t="s">
        <v>28</v>
      </c>
      <c r="C47" s="72">
        <v>6.1516399999999999E-3</v>
      </c>
      <c r="D47" s="69" t="str">
        <f>VLOOKUP(LEFT(B47,4),Tabela_Auxiliar!$A:$E,2,FALSE)</f>
        <v>IRBBRASIL RE</v>
      </c>
      <c r="E47" s="69" t="str">
        <f>VLOOKUP(LEFT(B47,4),Tabela_Auxiliar!$A:$E,3,FALSE)</f>
        <v>Financeiro</v>
      </c>
      <c r="F47" s="69" t="str">
        <f>VLOOKUP(LEFT(B47,4),Tabela_Auxiliar!$A:$E,5,FALSE)</f>
        <v>Seguradoras</v>
      </c>
      <c r="G47" s="69" t="str">
        <f>VLOOKUP(LEFT(B47,4),Tabela_Auxiliar!$A:$E,5,FALSE)</f>
        <v>Seguradoras</v>
      </c>
      <c r="I47" s="77" t="s">
        <v>355</v>
      </c>
      <c r="J47" s="76">
        <v>3.581695E-2</v>
      </c>
    </row>
    <row r="48" spans="1:10" ht="15" customHeight="1" x14ac:dyDescent="0.3">
      <c r="A48" s="68">
        <v>43990</v>
      </c>
      <c r="B48" s="69" t="s">
        <v>15</v>
      </c>
      <c r="C48" s="72">
        <v>6.0281299999999996E-3</v>
      </c>
      <c r="D48" s="69" t="str">
        <f>VLOOKUP(LEFT(B48,4),Tabela_Auxiliar!$A:$E,2,FALSE)</f>
        <v xml:space="preserve">COSAN       </v>
      </c>
      <c r="E48" s="69" t="str">
        <f>VLOOKUP(LEFT(B48,4),Tabela_Auxiliar!$A:$E,3,FALSE)</f>
        <v>Petróleo, Gás e Biocombustíveis</v>
      </c>
      <c r="F48" s="69" t="str">
        <f>VLOOKUP(LEFT(B48,4),Tabela_Auxiliar!$A:$E,5,FALSE)</f>
        <v>Exploração, Refino e Distribuição</v>
      </c>
      <c r="G48" s="69" t="str">
        <f>VLOOKUP(LEFT(B48,4),Tabela_Auxiliar!$A:$E,5,FALSE)</f>
        <v>Exploração, Refino e Distribuição</v>
      </c>
      <c r="I48" s="78" t="s">
        <v>355</v>
      </c>
      <c r="J48" s="76">
        <v>3.581695E-2</v>
      </c>
    </row>
    <row r="49" spans="1:10" ht="15" customHeight="1" x14ac:dyDescent="0.3">
      <c r="A49" s="68">
        <v>43990</v>
      </c>
      <c r="B49" s="69" t="s">
        <v>0</v>
      </c>
      <c r="C49" s="72">
        <v>5.94803E-3</v>
      </c>
      <c r="D49" s="69" t="str">
        <f>VLOOKUP(LEFT(B49,4),Tabela_Auxiliar!$A:$E,2,FALSE)</f>
        <v>P.ACUCAR-CBD</v>
      </c>
      <c r="E49" s="69" t="str">
        <f>VLOOKUP(LEFT(B49,4),Tabela_Auxiliar!$A:$E,3,FALSE)</f>
        <v>Consumo não Cíclico</v>
      </c>
      <c r="F49" s="69" t="str">
        <f>VLOOKUP(LEFT(B49,4),Tabela_Auxiliar!$A:$E,5,FALSE)</f>
        <v>Alimentos</v>
      </c>
      <c r="G49" s="69" t="str">
        <f>VLOOKUP(LEFT(B49,4),Tabela_Auxiliar!$A:$E,5,FALSE)</f>
        <v>Alimentos</v>
      </c>
      <c r="I49" s="77" t="s">
        <v>384</v>
      </c>
      <c r="J49" s="76">
        <v>1.6539459999999999E-2</v>
      </c>
    </row>
    <row r="50" spans="1:10" ht="15" customHeight="1" x14ac:dyDescent="0.3">
      <c r="A50" s="68">
        <v>43990</v>
      </c>
      <c r="B50" s="69" t="s">
        <v>10</v>
      </c>
      <c r="C50" s="72">
        <v>5.4700199999999999E-3</v>
      </c>
      <c r="D50" s="69" t="str">
        <f>VLOOKUP(LEFT(B50,4),Tabela_Auxiliar!$A:$E,2,FALSE)</f>
        <v>BR MALLS PAR</v>
      </c>
      <c r="E50" s="69" t="str">
        <f>VLOOKUP(LEFT(B50,4),Tabela_Auxiliar!$A:$E,3,FALSE)</f>
        <v>Financeiro</v>
      </c>
      <c r="F50" s="69" t="str">
        <f>VLOOKUP(LEFT(B50,4),Tabela_Auxiliar!$A:$E,5,FALSE)</f>
        <v>Exploração de Imóveis</v>
      </c>
      <c r="G50" s="69" t="str">
        <f>VLOOKUP(LEFT(B50,4),Tabela_Auxiliar!$A:$E,5,FALSE)</f>
        <v>Exploração de Imóveis</v>
      </c>
      <c r="I50" s="78" t="s">
        <v>384</v>
      </c>
      <c r="J50" s="76">
        <v>1.6539459999999999E-2</v>
      </c>
    </row>
    <row r="51" spans="1:10" ht="15" customHeight="1" x14ac:dyDescent="0.3">
      <c r="A51" s="68">
        <v>43990</v>
      </c>
      <c r="B51" s="69" t="s">
        <v>1027</v>
      </c>
      <c r="C51" s="72">
        <v>4.9230699999999999E-3</v>
      </c>
      <c r="D51" s="69" t="str">
        <f>VLOOKUP(LEFT(B51,4),Tabela_Auxiliar!$A:$E,2,FALSE)</f>
        <v>AZUL</v>
      </c>
      <c r="E51" s="69" t="str">
        <f>VLOOKUP(LEFT(B51,4),Tabela_Auxiliar!$A:$E,3,FALSE)</f>
        <v>Bens Industriais</v>
      </c>
      <c r="F51" s="69" t="str">
        <f>VLOOKUP(LEFT(B51,4),Tabela_Auxiliar!$A:$E,5,FALSE)</f>
        <v>Transporte Aéreo</v>
      </c>
      <c r="G51" s="69" t="str">
        <f>VLOOKUP(LEFT(B51,4),Tabela_Auxiliar!$A:$E,5,FALSE)</f>
        <v>Transporte Aéreo</v>
      </c>
      <c r="I51" s="77" t="s">
        <v>391</v>
      </c>
      <c r="J51" s="76">
        <v>9.9634000000000007E-3</v>
      </c>
    </row>
    <row r="52" spans="1:10" ht="15" customHeight="1" x14ac:dyDescent="0.3">
      <c r="A52" s="68">
        <v>43990</v>
      </c>
      <c r="B52" s="69" t="s">
        <v>44</v>
      </c>
      <c r="C52" s="72">
        <v>4.81001E-3</v>
      </c>
      <c r="D52" s="69" t="str">
        <f>VLOOKUP(LEFT(B52,4),Tabela_Auxiliar!$A:$E,2,FALSE)</f>
        <v xml:space="preserve">TOTVS       </v>
      </c>
      <c r="E52" s="69" t="str">
        <f>VLOOKUP(LEFT(B52,4),Tabela_Auxiliar!$A:$E,3,FALSE)</f>
        <v>Tecnologia da Informação</v>
      </c>
      <c r="F52" s="69" t="str">
        <f>VLOOKUP(LEFT(B52,4),Tabela_Auxiliar!$A:$E,5,FALSE)</f>
        <v>Programas e Serviços</v>
      </c>
      <c r="G52" s="69" t="str">
        <f>VLOOKUP(LEFT(B52,4),Tabela_Auxiliar!$A:$E,5,FALSE)</f>
        <v>Programas e Serviços</v>
      </c>
      <c r="I52" s="78" t="s">
        <v>391</v>
      </c>
      <c r="J52" s="76">
        <v>9.9634000000000007E-3</v>
      </c>
    </row>
    <row r="53" spans="1:10" ht="15" customHeight="1" x14ac:dyDescent="0.3">
      <c r="A53" s="68">
        <v>43990</v>
      </c>
      <c r="B53" s="69" t="s">
        <v>1033</v>
      </c>
      <c r="C53" s="72">
        <v>4.5346099999999997E-3</v>
      </c>
      <c r="D53" s="69" t="str">
        <f>VLOOKUP(LEFT(B53,4),Tabela_Auxiliar!$A:$E,2,FALSE)</f>
        <v>SID NACIONAL</v>
      </c>
      <c r="E53" s="69" t="str">
        <f>VLOOKUP(LEFT(B53,4),Tabela_Auxiliar!$A:$E,3,FALSE)</f>
        <v>Materiais Básicos</v>
      </c>
      <c r="F53" s="69" t="str">
        <f>VLOOKUP(LEFT(B53,4),Tabela_Auxiliar!$A:$E,5,FALSE)</f>
        <v>Siderurgia</v>
      </c>
      <c r="G53" s="69" t="str">
        <f>VLOOKUP(LEFT(B53,4),Tabela_Auxiliar!$A:$E,5,FALSE)</f>
        <v>Siderurgia</v>
      </c>
      <c r="I53" s="75" t="s">
        <v>657</v>
      </c>
      <c r="J53" s="76">
        <v>6.3712419999999992E-2</v>
      </c>
    </row>
    <row r="54" spans="1:10" ht="15" customHeight="1" x14ac:dyDescent="0.3">
      <c r="A54" s="68">
        <v>43990</v>
      </c>
      <c r="B54" s="69" t="s">
        <v>23</v>
      </c>
      <c r="C54" s="72">
        <v>4.5084599999999997E-3</v>
      </c>
      <c r="D54" s="69" t="str">
        <f>VLOOKUP(LEFT(B54,4),Tabela_Auxiliar!$A:$E,2,FALSE)</f>
        <v xml:space="preserve">FLEURY      </v>
      </c>
      <c r="E54" s="69" t="str">
        <f>VLOOKUP(LEFT(B54,4),Tabela_Auxiliar!$A:$E,3,FALSE)</f>
        <v>Saúde</v>
      </c>
      <c r="F54" s="69" t="str">
        <f>VLOOKUP(LEFT(B54,4),Tabela_Auxiliar!$A:$E,5,FALSE)</f>
        <v>Análises e Diagnósticos</v>
      </c>
      <c r="G54" s="69" t="str">
        <f>VLOOKUP(LEFT(B54,4),Tabela_Auxiliar!$A:$E,5,FALSE)</f>
        <v>Análises e Diagnósticos</v>
      </c>
      <c r="I54" s="77" t="s">
        <v>658</v>
      </c>
      <c r="J54" s="76">
        <v>5.312378999999999E-2</v>
      </c>
    </row>
    <row r="55" spans="1:10" ht="15" customHeight="1" x14ac:dyDescent="0.3">
      <c r="A55" s="68">
        <v>43990</v>
      </c>
      <c r="B55" s="69" t="s">
        <v>52</v>
      </c>
      <c r="C55" s="72">
        <v>4.4903800000000004E-3</v>
      </c>
      <c r="D55" s="69" t="str">
        <f>VLOOKUP(LEFT(B55,4),Tabela_Auxiliar!$A:$E,2,FALSE)</f>
        <v xml:space="preserve">BRADESPAR   </v>
      </c>
      <c r="E55" s="69" t="str">
        <f>VLOOKUP(LEFT(B55,4),Tabela_Auxiliar!$A:$E,3,FALSE)</f>
        <v>Materiais Básicos</v>
      </c>
      <c r="F55" s="69" t="str">
        <f>VLOOKUP(LEFT(B55,4),Tabela_Auxiliar!$A:$E,5,FALSE)</f>
        <v>Minerais Metálicos</v>
      </c>
      <c r="G55" s="69" t="str">
        <f>VLOOKUP(LEFT(B55,4),Tabela_Auxiliar!$A:$E,5,FALSE)</f>
        <v>Minerais Metálicos</v>
      </c>
      <c r="I55" s="78" t="s">
        <v>658</v>
      </c>
      <c r="J55" s="76">
        <v>5.312378999999999E-2</v>
      </c>
    </row>
    <row r="56" spans="1:10" ht="15" customHeight="1" x14ac:dyDescent="0.3">
      <c r="A56" s="68">
        <v>43990</v>
      </c>
      <c r="B56" s="69" t="s">
        <v>50</v>
      </c>
      <c r="C56" s="72">
        <v>4.4661800000000001E-3</v>
      </c>
      <c r="D56" s="69" t="str">
        <f>VLOOKUP(LEFT(B56,4),Tabela_Auxiliar!$A:$E,2,FALSE)</f>
        <v xml:space="preserve">EMBRAER     </v>
      </c>
      <c r="E56" s="69" t="str">
        <f>VLOOKUP(LEFT(B56,4),Tabela_Auxiliar!$A:$E,3,FALSE)</f>
        <v>Bens Industriais</v>
      </c>
      <c r="F56" s="69" t="str">
        <f>VLOOKUP(LEFT(B56,4),Tabela_Auxiliar!$A:$E,5,FALSE)</f>
        <v>Material Aeronáutico e de Defesa</v>
      </c>
      <c r="G56" s="69" t="str">
        <f>VLOOKUP(LEFT(B56,4),Tabela_Auxiliar!$A:$E,5,FALSE)</f>
        <v>Material Aeronáutico e de Defesa</v>
      </c>
      <c r="I56" s="77" t="s">
        <v>773</v>
      </c>
      <c r="J56" s="76">
        <v>1.058863E-2</v>
      </c>
    </row>
    <row r="57" spans="1:10" ht="15" customHeight="1" x14ac:dyDescent="0.3">
      <c r="A57" s="68">
        <v>43990</v>
      </c>
      <c r="B57" s="69" t="s">
        <v>20</v>
      </c>
      <c r="C57" s="72">
        <v>4.4596599999999998E-3</v>
      </c>
      <c r="D57" s="69" t="str">
        <f>VLOOKUP(LEFT(B57,4),Tabela_Auxiliar!$A:$E,2,FALSE)</f>
        <v xml:space="preserve">ELETROBRAS  </v>
      </c>
      <c r="E57" s="69" t="str">
        <f>VLOOKUP(LEFT(B57,4),Tabela_Auxiliar!$A:$E,3,FALSE)</f>
        <v>Utilidade Pública</v>
      </c>
      <c r="F57" s="69" t="str">
        <f>VLOOKUP(LEFT(B57,4),Tabela_Auxiliar!$A:$E,5,FALSE)</f>
        <v>Energia Elétrica</v>
      </c>
      <c r="G57" s="69" t="str">
        <f>VLOOKUP(LEFT(B57,4),Tabela_Auxiliar!$A:$E,5,FALSE)</f>
        <v>Energia Elétrica</v>
      </c>
      <c r="I57" s="78" t="s">
        <v>773</v>
      </c>
      <c r="J57" s="76">
        <v>1.058863E-2</v>
      </c>
    </row>
    <row r="58" spans="1:10" ht="15" customHeight="1" x14ac:dyDescent="0.3">
      <c r="A58" s="68">
        <v>43990</v>
      </c>
      <c r="B58" s="69" t="s">
        <v>1043</v>
      </c>
      <c r="C58" s="72">
        <v>4.4427800000000003E-3</v>
      </c>
      <c r="D58" s="69" t="str">
        <f>VLOOKUP(LEFT(B58,4),Tabela_Auxiliar!$A:$E,2,FALSE)</f>
        <v xml:space="preserve">QUALICORP   </v>
      </c>
      <c r="E58" s="69" t="str">
        <f>VLOOKUP(LEFT(B58,4),Tabela_Auxiliar!$A:$E,3,FALSE)</f>
        <v>Saúde</v>
      </c>
      <c r="F58" s="69" t="str">
        <f>VLOOKUP(LEFT(B58,4),Tabela_Auxiliar!$A:$E,5,FALSE)</f>
        <v>Análises e Diagnósticos</v>
      </c>
      <c r="G58" s="69" t="str">
        <f>VLOOKUP(LEFT(B58,4),Tabela_Auxiliar!$A:$E,5,FALSE)</f>
        <v>Análises e Diagnósticos</v>
      </c>
      <c r="I58" s="75" t="s">
        <v>165</v>
      </c>
      <c r="J58" s="76">
        <v>5.4408640000000001E-2</v>
      </c>
    </row>
    <row r="59" spans="1:10" ht="15" customHeight="1" x14ac:dyDescent="0.3">
      <c r="A59" s="68">
        <v>43990</v>
      </c>
      <c r="B59" s="69" t="s">
        <v>9</v>
      </c>
      <c r="C59" s="72">
        <v>4.1336899999999998E-3</v>
      </c>
      <c r="D59" s="69" t="str">
        <f>VLOOKUP(LEFT(B59,4),Tabela_Auxiliar!$A:$E,2,FALSE)</f>
        <v xml:space="preserve">BRASKEM     </v>
      </c>
      <c r="E59" s="69" t="str">
        <f>VLOOKUP(LEFT(B59,4),Tabela_Auxiliar!$A:$E,3,FALSE)</f>
        <v>Materiais Básicos</v>
      </c>
      <c r="F59" s="69" t="str">
        <f>VLOOKUP(LEFT(B59,4),Tabela_Auxiliar!$A:$E,5,FALSE)</f>
        <v>Petroquímicos</v>
      </c>
      <c r="G59" s="69" t="str">
        <f>VLOOKUP(LEFT(B59,4),Tabela_Auxiliar!$A:$E,5,FALSE)</f>
        <v>Petroquímicos</v>
      </c>
      <c r="I59" s="77" t="s">
        <v>206</v>
      </c>
      <c r="J59" s="76">
        <v>1.7899040000000001E-2</v>
      </c>
    </row>
    <row r="60" spans="1:10" ht="15" customHeight="1" x14ac:dyDescent="0.3">
      <c r="A60" s="68">
        <v>43990</v>
      </c>
      <c r="B60" s="69" t="s">
        <v>1032</v>
      </c>
      <c r="C60" s="72">
        <v>4.0153699999999999E-3</v>
      </c>
      <c r="D60" s="69" t="str">
        <f>VLOOKUP(LEFT(B60,4),Tabela_Auxiliar!$A:$E,2,FALSE)</f>
        <v>CARREFOUR BR</v>
      </c>
      <c r="E60" s="69" t="str">
        <f>VLOOKUP(LEFT(B60,4),Tabela_Auxiliar!$A:$E,3,FALSE)</f>
        <v>Consumo não Cíclico</v>
      </c>
      <c r="F60" s="69" t="str">
        <f>VLOOKUP(LEFT(B60,4),Tabela_Auxiliar!$A:$E,5,FALSE)</f>
        <v>Alimentos</v>
      </c>
      <c r="G60" s="69" t="str">
        <f>VLOOKUP(LEFT(B60,4),Tabela_Auxiliar!$A:$E,5,FALSE)</f>
        <v>Alimentos</v>
      </c>
      <c r="I60" s="78" t="s">
        <v>206</v>
      </c>
      <c r="J60" s="76">
        <v>1.7899040000000001E-2</v>
      </c>
    </row>
    <row r="61" spans="1:10" ht="15" customHeight="1" x14ac:dyDescent="0.3">
      <c r="A61" s="68">
        <v>43990</v>
      </c>
      <c r="B61" s="69" t="s">
        <v>42</v>
      </c>
      <c r="C61" s="72">
        <v>3.5864E-3</v>
      </c>
      <c r="D61" s="69" t="str">
        <f>VLOOKUP(LEFT(B61,4),Tabela_Auxiliar!$A:$E,2,FALSE)</f>
        <v xml:space="preserve">TAESA       </v>
      </c>
      <c r="E61" s="69" t="str">
        <f>VLOOKUP(LEFT(B61,4),Tabela_Auxiliar!$A:$E,3,FALSE)</f>
        <v>Utilidade Pública</v>
      </c>
      <c r="F61" s="69" t="str">
        <f>VLOOKUP(LEFT(B61,4),Tabela_Auxiliar!$A:$E,5,FALSE)</f>
        <v>Energia Elétrica</v>
      </c>
      <c r="G61" s="69" t="str">
        <f>VLOOKUP(LEFT(B61,4),Tabela_Auxiliar!$A:$E,5,FALSE)</f>
        <v>Energia Elétrica</v>
      </c>
      <c r="I61" s="77" t="s">
        <v>243</v>
      </c>
      <c r="J61" s="76">
        <v>1.4440730000000001E-2</v>
      </c>
    </row>
    <row r="62" spans="1:10" ht="15" customHeight="1" x14ac:dyDescent="0.3">
      <c r="A62" s="68">
        <v>43990</v>
      </c>
      <c r="B62" s="69" t="s">
        <v>16</v>
      </c>
      <c r="C62" s="72">
        <v>3.5309500000000001E-3</v>
      </c>
      <c r="D62" s="69" t="str">
        <f>VLOOKUP(LEFT(B62,4),Tabela_Auxiliar!$A:$E,2,FALSE)</f>
        <v>CYRELA REALT</v>
      </c>
      <c r="E62" s="69" t="str">
        <f>VLOOKUP(LEFT(B62,4),Tabela_Auxiliar!$A:$E,3,FALSE)</f>
        <v>Consumo Cíclico</v>
      </c>
      <c r="F62" s="69" t="str">
        <f>VLOOKUP(LEFT(B62,4),Tabela_Auxiliar!$A:$E,5,FALSE)</f>
        <v>Incorporações</v>
      </c>
      <c r="G62" s="69" t="str">
        <f>VLOOKUP(LEFT(B62,4),Tabela_Auxiliar!$A:$E,5,FALSE)</f>
        <v>Incorporações</v>
      </c>
      <c r="I62" s="78" t="s">
        <v>243</v>
      </c>
      <c r="J62" s="76">
        <v>1.4440730000000001E-2</v>
      </c>
    </row>
    <row r="63" spans="1:10" ht="15" customHeight="1" x14ac:dyDescent="0.3">
      <c r="A63" s="68">
        <v>43990</v>
      </c>
      <c r="B63" s="69" t="s">
        <v>36</v>
      </c>
      <c r="C63" s="72">
        <v>3.5016600000000002E-3</v>
      </c>
      <c r="D63" s="69" t="str">
        <f>VLOOKUP(LEFT(B63,4),Tabela_Auxiliar!$A:$E,2,FALSE)</f>
        <v xml:space="preserve">MULTIPLAN   </v>
      </c>
      <c r="E63" s="69" t="str">
        <f>VLOOKUP(LEFT(B63,4),Tabela_Auxiliar!$A:$E,3,FALSE)</f>
        <v>Financeiro</v>
      </c>
      <c r="F63" s="69" t="str">
        <f>VLOOKUP(LEFT(B63,4),Tabela_Auxiliar!$A:$E,5,FALSE)</f>
        <v>Exploração de Imóveis</v>
      </c>
      <c r="G63" s="69" t="str">
        <f>VLOOKUP(LEFT(B63,4),Tabela_Auxiliar!$A:$E,5,FALSE)</f>
        <v>Exploração de Imóveis</v>
      </c>
      <c r="I63" s="77" t="s">
        <v>266</v>
      </c>
      <c r="J63" s="76">
        <v>1.08486E-2</v>
      </c>
    </row>
    <row r="64" spans="1:10" ht="15" customHeight="1" x14ac:dyDescent="0.3">
      <c r="A64" s="68">
        <v>43990</v>
      </c>
      <c r="B64" s="69" t="s">
        <v>1031</v>
      </c>
      <c r="C64" s="72">
        <v>3.20499E-3</v>
      </c>
      <c r="D64" s="69" t="str">
        <f>VLOOKUP(LEFT(B64,4),Tabela_Auxiliar!$A:$E,2,FALSE)</f>
        <v>CPFL ENERGIA</v>
      </c>
      <c r="E64" s="69" t="str">
        <f>VLOOKUP(LEFT(B64,4),Tabela_Auxiliar!$A:$E,3,FALSE)</f>
        <v>Utilidade Pública</v>
      </c>
      <c r="F64" s="69" t="str">
        <f>VLOOKUP(LEFT(B64,4),Tabela_Auxiliar!$A:$E,5,FALSE)</f>
        <v>Energia Elétrica</v>
      </c>
      <c r="G64" s="69" t="str">
        <f>VLOOKUP(LEFT(B64,4),Tabela_Auxiliar!$A:$E,5,FALSE)</f>
        <v>Energia Elétrica</v>
      </c>
      <c r="I64" s="78" t="s">
        <v>266</v>
      </c>
      <c r="J64" s="76">
        <v>1.08486E-2</v>
      </c>
    </row>
    <row r="65" spans="1:10" ht="15" customHeight="1" x14ac:dyDescent="0.3">
      <c r="A65" s="68">
        <v>43990</v>
      </c>
      <c r="B65" s="69" t="s">
        <v>34</v>
      </c>
      <c r="C65" s="72">
        <v>3.0877299999999999E-3</v>
      </c>
      <c r="D65" s="69" t="str">
        <f>VLOOKUP(LEFT(B65,4),Tabela_Auxiliar!$A:$E,2,FALSE)</f>
        <v xml:space="preserve">MARFRIG     </v>
      </c>
      <c r="E65" s="69" t="str">
        <f>VLOOKUP(LEFT(B65,4),Tabela_Auxiliar!$A:$E,3,FALSE)</f>
        <v>Consumo não Cíclico</v>
      </c>
      <c r="F65" s="69" t="str">
        <f>VLOOKUP(LEFT(B65,4),Tabela_Auxiliar!$A:$E,5,FALSE)</f>
        <v>Carnes e Derivados</v>
      </c>
      <c r="G65" s="69" t="str">
        <f>VLOOKUP(LEFT(B65,4),Tabela_Auxiliar!$A:$E,5,FALSE)</f>
        <v>Carnes e Derivados</v>
      </c>
      <c r="I65" s="77" t="s">
        <v>239</v>
      </c>
      <c r="J65" s="76">
        <v>6.7540899999999999E-3</v>
      </c>
    </row>
    <row r="66" spans="1:10" ht="15" customHeight="1" x14ac:dyDescent="0.3">
      <c r="A66" s="68">
        <v>43990</v>
      </c>
      <c r="B66" s="69" t="s">
        <v>21</v>
      </c>
      <c r="C66" s="72">
        <v>3.0684100000000001E-3</v>
      </c>
      <c r="D66" s="69" t="str">
        <f>VLOOKUP(LEFT(B66,4),Tabela_Auxiliar!$A:$E,2,FALSE)</f>
        <v xml:space="preserve">ENERGIAS BR </v>
      </c>
      <c r="E66" s="69" t="str">
        <f>VLOOKUP(LEFT(B66,4),Tabela_Auxiliar!$A:$E,3,FALSE)</f>
        <v>Utilidade Pública</v>
      </c>
      <c r="F66" s="69" t="str">
        <f>VLOOKUP(LEFT(B66,4),Tabela_Auxiliar!$A:$E,5,FALSE)</f>
        <v>Energia Elétrica</v>
      </c>
      <c r="G66" s="69" t="str">
        <f>VLOOKUP(LEFT(B66,4),Tabela_Auxiliar!$A:$E,5,FALSE)</f>
        <v>Energia Elétrica</v>
      </c>
      <c r="I66" s="78" t="s">
        <v>239</v>
      </c>
      <c r="J66" s="76">
        <v>6.7540899999999999E-3</v>
      </c>
    </row>
    <row r="67" spans="1:10" ht="15" customHeight="1" x14ac:dyDescent="0.3">
      <c r="A67" s="68">
        <v>43990</v>
      </c>
      <c r="B67" s="69" t="s">
        <v>35</v>
      </c>
      <c r="C67" s="72">
        <v>3.0077099999999998E-3</v>
      </c>
      <c r="D67" s="69" t="str">
        <f>VLOOKUP(LEFT(B67,4),Tabela_Auxiliar!$A:$E,2,FALSE)</f>
        <v xml:space="preserve">MRV         </v>
      </c>
      <c r="E67" s="69" t="str">
        <f>VLOOKUP(LEFT(B67,4),Tabela_Auxiliar!$A:$E,3,FALSE)</f>
        <v>Consumo Cíclico</v>
      </c>
      <c r="F67" s="69" t="str">
        <f>VLOOKUP(LEFT(B67,4),Tabela_Auxiliar!$A:$E,5,FALSE)</f>
        <v>Incorporações</v>
      </c>
      <c r="G67" s="69" t="str">
        <f>VLOOKUP(LEFT(B67,4),Tabela_Auxiliar!$A:$E,5,FALSE)</f>
        <v>Incorporações</v>
      </c>
      <c r="I67" s="77" t="s">
        <v>186</v>
      </c>
      <c r="J67" s="76">
        <v>4.4661800000000001E-3</v>
      </c>
    </row>
    <row r="68" spans="1:10" ht="15" customHeight="1" x14ac:dyDescent="0.3">
      <c r="A68" s="68">
        <v>43990</v>
      </c>
      <c r="B68" s="69" t="s">
        <v>1030</v>
      </c>
      <c r="C68" s="72">
        <v>2.9422799999999998E-3</v>
      </c>
      <c r="D68" s="69" t="str">
        <f>VLOOKUP(LEFT(B68,4),Tabela_Auxiliar!$A:$E,2,FALSE)</f>
        <v xml:space="preserve">CIELO       </v>
      </c>
      <c r="E68" s="69" t="str">
        <f>VLOOKUP(LEFT(B68,4),Tabela_Auxiliar!$A:$E,3,FALSE)</f>
        <v>Financeiro</v>
      </c>
      <c r="F68" s="69" t="str">
        <f>VLOOKUP(LEFT(B68,4),Tabela_Auxiliar!$A:$E,5,FALSE)</f>
        <v>Serviços Financeiros Diversos</v>
      </c>
      <c r="G68" s="69" t="str">
        <f>VLOOKUP(LEFT(B68,4),Tabela_Auxiliar!$A:$E,5,FALSE)</f>
        <v>Serviços Financeiros Diversos</v>
      </c>
      <c r="I68" s="78" t="s">
        <v>186</v>
      </c>
      <c r="J68" s="76">
        <v>4.4661800000000001E-3</v>
      </c>
    </row>
    <row r="69" spans="1:10" ht="15" customHeight="1" x14ac:dyDescent="0.3">
      <c r="A69" s="68">
        <v>43990</v>
      </c>
      <c r="B69" s="69" t="s">
        <v>25</v>
      </c>
      <c r="C69" s="72">
        <v>2.71639E-3</v>
      </c>
      <c r="D69" s="69" t="str">
        <f>VLOOKUP(LEFT(B69,4),Tabela_Auxiliar!$A:$E,2,FALSE)</f>
        <v xml:space="preserve">GERDAU MET  </v>
      </c>
      <c r="E69" s="69" t="str">
        <f>VLOOKUP(LEFT(B69,4),Tabela_Auxiliar!$A:$E,3,FALSE)</f>
        <v>Materiais Básicos</v>
      </c>
      <c r="F69" s="69" t="str">
        <f>VLOOKUP(LEFT(B69,4),Tabela_Auxiliar!$A:$E,5,FALSE)</f>
        <v>Siderurgia</v>
      </c>
      <c r="G69" s="69" t="str">
        <f>VLOOKUP(LEFT(B69,4),Tabela_Auxiliar!$A:$E,5,FALSE)</f>
        <v>Siderurgia</v>
      </c>
      <c r="I69" s="75" t="s">
        <v>581</v>
      </c>
      <c r="J69" s="76">
        <v>5.4170780000000002E-2</v>
      </c>
    </row>
    <row r="70" spans="1:10" ht="15" customHeight="1" x14ac:dyDescent="0.3">
      <c r="A70" s="68">
        <v>43990</v>
      </c>
      <c r="B70" s="69" t="s">
        <v>1048</v>
      </c>
      <c r="C70" s="72">
        <v>2.1702399999999999E-3</v>
      </c>
      <c r="D70" s="69" t="str">
        <f>VLOOKUP(LEFT(B70,4),Tabela_Auxiliar!$A:$E,2,FALSE)</f>
        <v xml:space="preserve">USIMINAS    </v>
      </c>
      <c r="E70" s="69" t="str">
        <f>VLOOKUP(LEFT(B70,4),Tabela_Auxiliar!$A:$E,3,FALSE)</f>
        <v>Materiais Básicos</v>
      </c>
      <c r="F70" s="69" t="str">
        <f>VLOOKUP(LEFT(B70,4),Tabela_Auxiliar!$A:$E,5,FALSE)</f>
        <v>Siderurgia</v>
      </c>
      <c r="G70" s="69" t="str">
        <f>VLOOKUP(LEFT(B70,4),Tabela_Auxiliar!$A:$E,5,FALSE)</f>
        <v>Siderurgia</v>
      </c>
      <c r="I70" s="77" t="s">
        <v>592</v>
      </c>
      <c r="J70" s="76">
        <v>3.316289E-2</v>
      </c>
    </row>
    <row r="71" spans="1:10" ht="15" customHeight="1" x14ac:dyDescent="0.3">
      <c r="A71" s="68">
        <v>43990</v>
      </c>
      <c r="B71" s="69" t="s">
        <v>6</v>
      </c>
      <c r="C71" s="72">
        <v>1.9183200000000001E-3</v>
      </c>
      <c r="D71" s="69" t="str">
        <f>VLOOKUP(LEFT(B71,4),Tabela_Auxiliar!$A:$E,2,FALSE)</f>
        <v xml:space="preserve">MINERVA     </v>
      </c>
      <c r="E71" s="69" t="str">
        <f>VLOOKUP(LEFT(B71,4),Tabela_Auxiliar!$A:$E,3,FALSE)</f>
        <v>Consumo não Cíclico</v>
      </c>
      <c r="F71" s="69" t="str">
        <f>VLOOKUP(LEFT(B71,4),Tabela_Auxiliar!$A:$E,5,FALSE)</f>
        <v>Carnes e Derivados</v>
      </c>
      <c r="G71" s="69" t="str">
        <f>VLOOKUP(LEFT(B71,4),Tabela_Auxiliar!$A:$E,5,FALSE)</f>
        <v>Carnes e Derivados</v>
      </c>
      <c r="I71" s="78" t="s">
        <v>592</v>
      </c>
      <c r="J71" s="76">
        <v>3.316289E-2</v>
      </c>
    </row>
    <row r="72" spans="1:10" ht="15" customHeight="1" x14ac:dyDescent="0.3">
      <c r="A72" s="68">
        <v>43990</v>
      </c>
      <c r="B72" s="69" t="s">
        <v>1034</v>
      </c>
      <c r="C72" s="72">
        <v>1.90226E-3</v>
      </c>
      <c r="D72" s="69" t="str">
        <f>VLOOKUP(LEFT(B72,4),Tabela_Auxiliar!$A:$E,2,FALSE)</f>
        <v>CVC BRASIL</v>
      </c>
      <c r="E72" s="69" t="str">
        <f>VLOOKUP(LEFT(B72,4),Tabela_Auxiliar!$A:$E,3,FALSE)</f>
        <v>Consumo Cíclico</v>
      </c>
      <c r="F72" s="69" t="str">
        <f>VLOOKUP(LEFT(B72,4),Tabela_Auxiliar!$A:$E,5,FALSE)</f>
        <v>Viagens e Turismo</v>
      </c>
      <c r="G72" s="69" t="str">
        <f>VLOOKUP(LEFT(B72,4),Tabela_Auxiliar!$A:$E,5,FALSE)</f>
        <v>Viagens e Turismo</v>
      </c>
      <c r="I72" s="77" t="s">
        <v>582</v>
      </c>
      <c r="J72" s="76">
        <v>2.1007890000000001E-2</v>
      </c>
    </row>
    <row r="73" spans="1:10" ht="15" customHeight="1" x14ac:dyDescent="0.3">
      <c r="A73" s="68">
        <v>43990</v>
      </c>
      <c r="B73" s="69" t="s">
        <v>1037</v>
      </c>
      <c r="C73" s="72">
        <v>1.83102E-3</v>
      </c>
      <c r="D73" s="69" t="str">
        <f>VLOOKUP(LEFT(B73,4),Tabela_Auxiliar!$A:$E,2,FALSE)</f>
        <v xml:space="preserve">GOL         </v>
      </c>
      <c r="E73" s="69" t="str">
        <f>VLOOKUP(LEFT(B73,4),Tabela_Auxiliar!$A:$E,3,FALSE)</f>
        <v>Bens Industriais</v>
      </c>
      <c r="F73" s="69" t="str">
        <f>VLOOKUP(LEFT(B73,4),Tabela_Auxiliar!$A:$E,5,FALSE)</f>
        <v>Transporte Aéreo</v>
      </c>
      <c r="G73" s="69" t="str">
        <f>VLOOKUP(LEFT(B73,4),Tabela_Auxiliar!$A:$E,5,FALSE)</f>
        <v>Transporte Aéreo</v>
      </c>
      <c r="I73" s="78" t="s">
        <v>582</v>
      </c>
      <c r="J73" s="76">
        <v>2.1007890000000001E-2</v>
      </c>
    </row>
    <row r="74" spans="1:10" ht="15" customHeight="1" x14ac:dyDescent="0.3">
      <c r="A74" s="68">
        <v>43990</v>
      </c>
      <c r="B74" s="69" t="s">
        <v>27</v>
      </c>
      <c r="C74" s="72">
        <v>1.82333E-3</v>
      </c>
      <c r="D74" s="69" t="str">
        <f>VLOOKUP(LEFT(B74,4),Tabela_Auxiliar!$A:$E,2,FALSE)</f>
        <v xml:space="preserve">IGUATEMI    </v>
      </c>
      <c r="E74" s="69" t="str">
        <f>VLOOKUP(LEFT(B74,4),Tabela_Auxiliar!$A:$E,3,FALSE)</f>
        <v>Financeiro</v>
      </c>
      <c r="F74" s="69" t="str">
        <f>VLOOKUP(LEFT(B74,4),Tabela_Auxiliar!$A:$E,5,FALSE)</f>
        <v>Exploração de Imóveis</v>
      </c>
      <c r="G74" s="69" t="str">
        <f>VLOOKUP(LEFT(B74,4),Tabela_Auxiliar!$A:$E,5,FALSE)</f>
        <v>Exploração de Imóveis</v>
      </c>
      <c r="I74" s="75" t="s">
        <v>640</v>
      </c>
      <c r="J74" s="76">
        <v>1.803807E-2</v>
      </c>
    </row>
    <row r="75" spans="1:10" ht="15" customHeight="1" x14ac:dyDescent="0.3">
      <c r="A75" s="68">
        <v>43990</v>
      </c>
      <c r="B75" s="69" t="s">
        <v>17</v>
      </c>
      <c r="C75" s="72">
        <v>1.39777E-3</v>
      </c>
      <c r="D75" s="69" t="str">
        <f>VLOOKUP(LEFT(B75,4),Tabela_Auxiliar!$A:$E,2,FALSE)</f>
        <v xml:space="preserve">ECORODOVIAS </v>
      </c>
      <c r="E75" s="69" t="str">
        <f>VLOOKUP(LEFT(B75,4),Tabela_Auxiliar!$A:$E,3,FALSE)</f>
        <v>Bens Industriais</v>
      </c>
      <c r="F75" s="69" t="str">
        <f>VLOOKUP(LEFT(B75,4),Tabela_Auxiliar!$A:$E,5,FALSE)</f>
        <v>Exploração de Rodovias</v>
      </c>
      <c r="G75" s="69" t="str">
        <f>VLOOKUP(LEFT(B75,4),Tabela_Auxiliar!$A:$E,5,FALSE)</f>
        <v>Exploração de Rodovias</v>
      </c>
      <c r="I75" s="77" t="s">
        <v>641</v>
      </c>
      <c r="J75" s="76">
        <v>1.803807E-2</v>
      </c>
    </row>
    <row r="76" spans="1:10" ht="15" customHeight="1" x14ac:dyDescent="0.3">
      <c r="A76" s="68">
        <v>43990</v>
      </c>
      <c r="B76" s="69" t="s">
        <v>51</v>
      </c>
      <c r="C76" s="72">
        <v>1.2095299999999999E-3</v>
      </c>
      <c r="D76" s="69" t="str">
        <f>VLOOKUP(LEFT(B76,4),Tabela_Auxiliar!$A:$E,2,FALSE)</f>
        <v xml:space="preserve">CIA HERING  </v>
      </c>
      <c r="E76" s="69" t="str">
        <f>VLOOKUP(LEFT(B76,4),Tabela_Auxiliar!$A:$E,3,FALSE)</f>
        <v>Consumo Cíclico</v>
      </c>
      <c r="F76" s="69" t="str">
        <f>VLOOKUP(LEFT(B76,4),Tabela_Auxiliar!$A:$E,5,FALSE)</f>
        <v>Vestuário</v>
      </c>
      <c r="G76" s="69" t="str">
        <f>VLOOKUP(LEFT(B76,4),Tabela_Auxiliar!$A:$E,5,FALSE)</f>
        <v>Vestuário</v>
      </c>
      <c r="I76" s="78" t="s">
        <v>641</v>
      </c>
      <c r="J76" s="76">
        <v>1.803807E-2</v>
      </c>
    </row>
    <row r="77" spans="1:10" ht="15" customHeight="1" x14ac:dyDescent="0.3">
      <c r="I77" s="75" t="s">
        <v>624</v>
      </c>
      <c r="J77" s="76">
        <v>4.81001E-3</v>
      </c>
    </row>
    <row r="78" spans="1:10" ht="15" customHeight="1" x14ac:dyDescent="0.3">
      <c r="I78" s="77" t="s">
        <v>628</v>
      </c>
      <c r="J78" s="76">
        <v>4.81001E-3</v>
      </c>
    </row>
    <row r="79" spans="1:10" ht="15" customHeight="1" x14ac:dyDescent="0.3">
      <c r="I79" s="78" t="s">
        <v>628</v>
      </c>
      <c r="J79" s="76">
        <v>4.81001E-3</v>
      </c>
    </row>
    <row r="80" spans="1:10" ht="15" customHeight="1" x14ac:dyDescent="0.3">
      <c r="I80" s="75" t="s">
        <v>1053</v>
      </c>
      <c r="J80" s="76">
        <v>1.0000000099999999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b3Setorial</vt:lpstr>
      <vt:lpstr>Tabela_Auxiliar</vt:lpstr>
      <vt:lpstr>IBOVESPA</vt:lpstr>
      <vt:lpstr>b3Setorial!Print_Area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Lavrado</dc:creator>
  <cp:lastModifiedBy>USER</cp:lastModifiedBy>
  <dcterms:created xsi:type="dcterms:W3CDTF">2020-06-09T19:14:53Z</dcterms:created>
  <dcterms:modified xsi:type="dcterms:W3CDTF">2020-06-12T10:17:08Z</dcterms:modified>
</cp:coreProperties>
</file>